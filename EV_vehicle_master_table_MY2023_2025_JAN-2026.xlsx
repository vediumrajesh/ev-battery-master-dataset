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rajeshsubramanyam/Desktop/Myself/RAJESH/GC activity/EDN/Battery math/"/>
    </mc:Choice>
  </mc:AlternateContent>
  <xr:revisionPtr revIDLastSave="0" documentId="13_ncr:1_{A8F1BF54-9C3C-774C-B295-AB48CC8EAD1B}" xr6:coauthVersionLast="47" xr6:coauthVersionMax="47" xr10:uidLastSave="{00000000-0000-0000-0000-000000000000}"/>
  <bookViews>
    <workbookView xWindow="0" yWindow="600" windowWidth="38400" windowHeight="19420" xr2:uid="{00000000-000D-0000-FFFF-FFFF00000000}"/>
  </bookViews>
  <sheets>
    <sheet name="EV_Master" sheetId="2" r:id="rId1"/>
  </sheets>
  <definedNames>
    <definedName name="_xlnm._FilterDatabase" localSheetId="0" hidden="1">EV_Master!$A$1:$AF$1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10" i="2" l="1"/>
  <c r="L110" i="2"/>
  <c r="M110" i="2" s="1"/>
  <c r="I110" i="2"/>
  <c r="N110" i="2" s="1"/>
  <c r="Y109" i="2"/>
  <c r="L109" i="2"/>
  <c r="M109" i="2" s="1"/>
  <c r="I109" i="2"/>
  <c r="N109" i="2" s="1"/>
  <c r="Y108" i="2"/>
  <c r="L108" i="2"/>
  <c r="M108" i="2" s="1"/>
  <c r="I108" i="2"/>
  <c r="N108" i="2" s="1"/>
  <c r="Y107" i="2"/>
  <c r="L107" i="2"/>
  <c r="M107" i="2" s="1"/>
  <c r="I107" i="2"/>
  <c r="N107" i="2" s="1"/>
  <c r="Y106" i="2"/>
  <c r="L106" i="2"/>
  <c r="M106" i="2" s="1"/>
  <c r="I106" i="2"/>
  <c r="N106" i="2" s="1"/>
  <c r="Y105" i="2"/>
  <c r="L105" i="2"/>
  <c r="M105" i="2" s="1"/>
  <c r="I105" i="2"/>
  <c r="N105" i="2" s="1"/>
  <c r="Y104" i="2"/>
  <c r="L104" i="2"/>
  <c r="M104" i="2" s="1"/>
  <c r="I104" i="2"/>
  <c r="N104" i="2" s="1"/>
  <c r="Y103" i="2"/>
  <c r="L103" i="2"/>
  <c r="M103" i="2" s="1"/>
  <c r="I103" i="2"/>
  <c r="N103" i="2" s="1"/>
  <c r="Y102" i="2"/>
  <c r="L102" i="2"/>
  <c r="M102" i="2" s="1"/>
  <c r="I102" i="2"/>
  <c r="N102" i="2" s="1"/>
  <c r="Y101" i="2"/>
  <c r="N101" i="2"/>
  <c r="L101" i="2"/>
  <c r="M101" i="2" s="1"/>
  <c r="I101" i="2"/>
  <c r="Y100" i="2"/>
  <c r="L100" i="2"/>
  <c r="M100" i="2" s="1"/>
  <c r="I100" i="2"/>
  <c r="N100" i="2" s="1"/>
  <c r="Y99" i="2"/>
  <c r="L99" i="2"/>
  <c r="M99" i="2" s="1"/>
  <c r="I99" i="2"/>
  <c r="N99" i="2" s="1"/>
  <c r="Y98" i="2"/>
  <c r="L98" i="2"/>
  <c r="M98" i="2" s="1"/>
  <c r="I98" i="2"/>
  <c r="N98" i="2" s="1"/>
  <c r="Y97" i="2"/>
  <c r="L97" i="2"/>
  <c r="M97" i="2" s="1"/>
  <c r="I97" i="2"/>
  <c r="N97" i="2" s="1"/>
  <c r="Y96" i="2"/>
  <c r="L96" i="2"/>
  <c r="M96" i="2" s="1"/>
  <c r="I96" i="2"/>
  <c r="N96" i="2" s="1"/>
  <c r="Y95" i="2"/>
  <c r="L95" i="2"/>
  <c r="M95" i="2" s="1"/>
  <c r="I95" i="2"/>
  <c r="N95" i="2" s="1"/>
  <c r="AD94" i="2"/>
  <c r="AC94" i="2"/>
  <c r="Y94" i="2"/>
  <c r="L94" i="2"/>
  <c r="M94" i="2" s="1"/>
  <c r="I94" i="2"/>
  <c r="N94" i="2" s="1"/>
  <c r="AD93" i="2"/>
  <c r="AC93" i="2"/>
  <c r="Y93" i="2"/>
  <c r="L93" i="2"/>
  <c r="M93" i="2" s="1"/>
  <c r="I93" i="2"/>
  <c r="N93" i="2" s="1"/>
  <c r="AD92" i="2"/>
  <c r="AC92" i="2"/>
  <c r="Y92" i="2"/>
  <c r="L92" i="2"/>
  <c r="M92" i="2" s="1"/>
  <c r="I92" i="2"/>
  <c r="N92" i="2" s="1"/>
  <c r="Y91" i="2"/>
  <c r="L91" i="2"/>
  <c r="M91" i="2" s="1"/>
  <c r="I91" i="2"/>
  <c r="N91" i="2" s="1"/>
  <c r="Y90" i="2"/>
  <c r="L90" i="2"/>
  <c r="M90" i="2" s="1"/>
  <c r="I90" i="2"/>
  <c r="N90" i="2" s="1"/>
  <c r="Y89" i="2"/>
  <c r="L89" i="2"/>
  <c r="M89" i="2" s="1"/>
  <c r="I89" i="2"/>
  <c r="N89" i="2" s="1"/>
  <c r="Y88" i="2"/>
  <c r="L88" i="2"/>
  <c r="M88" i="2" s="1"/>
  <c r="I88" i="2"/>
  <c r="N88" i="2" s="1"/>
  <c r="Y87" i="2"/>
  <c r="L87" i="2"/>
  <c r="M87" i="2" s="1"/>
  <c r="I87" i="2"/>
  <c r="N87" i="2" s="1"/>
  <c r="Y86" i="2"/>
  <c r="L86" i="2"/>
  <c r="M86" i="2" s="1"/>
  <c r="I86" i="2"/>
  <c r="N86" i="2" s="1"/>
  <c r="Y85" i="2"/>
  <c r="L85" i="2"/>
  <c r="M85" i="2" s="1"/>
  <c r="I85" i="2"/>
  <c r="N85" i="2" s="1"/>
  <c r="Y84" i="2"/>
  <c r="L84" i="2"/>
  <c r="M84" i="2" s="1"/>
  <c r="I84" i="2"/>
  <c r="N84" i="2" s="1"/>
  <c r="Y83" i="2"/>
  <c r="L83" i="2"/>
  <c r="M83" i="2" s="1"/>
  <c r="I83" i="2"/>
  <c r="N83" i="2" s="1"/>
  <c r="Y82" i="2"/>
  <c r="L82" i="2"/>
  <c r="M82" i="2" s="1"/>
  <c r="I82" i="2"/>
  <c r="N82" i="2" s="1"/>
  <c r="Y81" i="2"/>
  <c r="L81" i="2"/>
  <c r="M81" i="2" s="1"/>
  <c r="I81" i="2"/>
  <c r="N81" i="2" s="1"/>
  <c r="Y80" i="2"/>
  <c r="L80" i="2"/>
  <c r="M80" i="2" s="1"/>
  <c r="I80" i="2"/>
  <c r="N80" i="2" s="1"/>
  <c r="Y79" i="2"/>
  <c r="L79" i="2"/>
  <c r="M79" i="2" s="1"/>
  <c r="I79" i="2"/>
  <c r="N79" i="2" s="1"/>
  <c r="Y78" i="2"/>
  <c r="L78" i="2"/>
  <c r="M78" i="2" s="1"/>
  <c r="I78" i="2"/>
  <c r="N78" i="2" s="1"/>
  <c r="Y77" i="2"/>
  <c r="L77" i="2"/>
  <c r="M77" i="2" s="1"/>
  <c r="I77" i="2"/>
  <c r="N77" i="2" s="1"/>
  <c r="Y76" i="2"/>
  <c r="L76" i="2"/>
  <c r="M76" i="2" s="1"/>
  <c r="I76" i="2"/>
  <c r="N76" i="2" s="1"/>
  <c r="Y75" i="2"/>
  <c r="L75" i="2"/>
  <c r="M75" i="2" s="1"/>
  <c r="I75" i="2"/>
  <c r="N75" i="2" s="1"/>
  <c r="Y74" i="2"/>
  <c r="L74" i="2"/>
  <c r="M74" i="2" s="1"/>
  <c r="I74" i="2"/>
  <c r="N74" i="2" s="1"/>
  <c r="Y73" i="2"/>
  <c r="L73" i="2"/>
  <c r="M73" i="2" s="1"/>
  <c r="I73" i="2"/>
  <c r="N73" i="2" s="1"/>
  <c r="Y72" i="2"/>
  <c r="L72" i="2"/>
  <c r="M72" i="2" s="1"/>
  <c r="I72" i="2"/>
  <c r="N72" i="2" s="1"/>
  <c r="Y71" i="2"/>
  <c r="L71" i="2"/>
  <c r="M71" i="2" s="1"/>
  <c r="I71" i="2"/>
  <c r="N71" i="2" s="1"/>
  <c r="Y70" i="2"/>
  <c r="L70" i="2"/>
  <c r="M70" i="2" s="1"/>
  <c r="I70" i="2"/>
  <c r="N70" i="2" s="1"/>
  <c r="Y69" i="2"/>
  <c r="L69" i="2"/>
  <c r="M69" i="2" s="1"/>
  <c r="I69" i="2"/>
  <c r="N69" i="2" s="1"/>
  <c r="Y68" i="2"/>
  <c r="L68" i="2"/>
  <c r="M68" i="2" s="1"/>
  <c r="I68" i="2"/>
  <c r="N68" i="2" s="1"/>
  <c r="Y67" i="2"/>
  <c r="L67" i="2"/>
  <c r="M67" i="2" s="1"/>
  <c r="I67" i="2"/>
  <c r="N67" i="2" s="1"/>
  <c r="Y66" i="2"/>
  <c r="L66" i="2"/>
  <c r="M66" i="2" s="1"/>
  <c r="I66" i="2"/>
  <c r="N66" i="2" s="1"/>
  <c r="Y65" i="2"/>
  <c r="L65" i="2"/>
  <c r="M65" i="2" s="1"/>
  <c r="I65" i="2"/>
  <c r="N65" i="2" s="1"/>
  <c r="Y64" i="2"/>
  <c r="L64" i="2"/>
  <c r="M64" i="2" s="1"/>
  <c r="I64" i="2"/>
  <c r="N64" i="2" s="1"/>
  <c r="Y63" i="2"/>
  <c r="L63" i="2"/>
  <c r="M63" i="2" s="1"/>
  <c r="I63" i="2"/>
  <c r="N63" i="2" s="1"/>
  <c r="Y62" i="2"/>
  <c r="L62" i="2"/>
  <c r="M62" i="2" s="1"/>
  <c r="I62" i="2"/>
  <c r="N62" i="2" s="1"/>
  <c r="Y61" i="2"/>
  <c r="L61" i="2"/>
  <c r="M61" i="2" s="1"/>
  <c r="I61" i="2"/>
  <c r="N61" i="2" s="1"/>
  <c r="Y60" i="2"/>
  <c r="L60" i="2"/>
  <c r="M60" i="2" s="1"/>
  <c r="I60" i="2"/>
  <c r="N60" i="2" s="1"/>
  <c r="AE59" i="2"/>
  <c r="AD59" i="2"/>
  <c r="AC59" i="2"/>
  <c r="Y59" i="2"/>
  <c r="L59" i="2"/>
  <c r="M59" i="2" s="1"/>
  <c r="I59" i="2"/>
  <c r="N59" i="2" s="1"/>
  <c r="AE58" i="2"/>
  <c r="AD58" i="2"/>
  <c r="AC58" i="2"/>
  <c r="Y58" i="2"/>
  <c r="L58" i="2"/>
  <c r="M58" i="2" s="1"/>
  <c r="I58" i="2"/>
  <c r="N58" i="2" s="1"/>
  <c r="AE57" i="2"/>
  <c r="AD57" i="2"/>
  <c r="AC57" i="2"/>
  <c r="Y57" i="2"/>
  <c r="L57" i="2"/>
  <c r="M57" i="2" s="1"/>
  <c r="I57" i="2"/>
  <c r="N57" i="2" s="1"/>
  <c r="AE56" i="2"/>
  <c r="AD56" i="2"/>
  <c r="AC56" i="2"/>
  <c r="Y56" i="2"/>
  <c r="L56" i="2"/>
  <c r="M56" i="2" s="1"/>
  <c r="I56" i="2"/>
  <c r="N56" i="2" s="1"/>
  <c r="Y55" i="2"/>
  <c r="L55" i="2"/>
  <c r="M55" i="2" s="1"/>
  <c r="I55" i="2"/>
  <c r="N55" i="2" s="1"/>
  <c r="Y54" i="2"/>
  <c r="L54" i="2"/>
  <c r="M54" i="2" s="1"/>
  <c r="I54" i="2"/>
  <c r="N54" i="2" s="1"/>
  <c r="Y53" i="2"/>
  <c r="L53" i="2"/>
  <c r="M53" i="2" s="1"/>
  <c r="I53" i="2"/>
  <c r="N53" i="2" s="1"/>
  <c r="Y52" i="2"/>
  <c r="L52" i="2"/>
  <c r="M52" i="2" s="1"/>
  <c r="I52" i="2"/>
  <c r="N52" i="2" s="1"/>
  <c r="Y51" i="2"/>
  <c r="L51" i="2"/>
  <c r="M51" i="2" s="1"/>
  <c r="I51" i="2"/>
  <c r="N51" i="2" s="1"/>
  <c r="Y50" i="2"/>
  <c r="L50" i="2"/>
  <c r="M50" i="2" s="1"/>
  <c r="I50" i="2"/>
  <c r="N50" i="2" s="1"/>
  <c r="Y49" i="2"/>
  <c r="L49" i="2"/>
  <c r="M49" i="2" s="1"/>
  <c r="I49" i="2"/>
  <c r="N49" i="2" s="1"/>
  <c r="Y48" i="2"/>
  <c r="L48" i="2"/>
  <c r="M48" i="2" s="1"/>
  <c r="I48" i="2"/>
  <c r="N48" i="2" s="1"/>
  <c r="Y47" i="2"/>
  <c r="L47" i="2"/>
  <c r="M47" i="2" s="1"/>
  <c r="I47" i="2"/>
  <c r="N47" i="2" s="1"/>
  <c r="Y46" i="2"/>
  <c r="L46" i="2"/>
  <c r="M46" i="2" s="1"/>
  <c r="I46" i="2"/>
  <c r="N46" i="2" s="1"/>
  <c r="Y45" i="2"/>
  <c r="L45" i="2"/>
  <c r="M45" i="2" s="1"/>
  <c r="I45" i="2"/>
  <c r="N45" i="2" s="1"/>
  <c r="Y44" i="2"/>
  <c r="L44" i="2"/>
  <c r="M44" i="2" s="1"/>
  <c r="I44" i="2"/>
  <c r="N44" i="2" s="1"/>
  <c r="Y43" i="2"/>
  <c r="L43" i="2"/>
  <c r="M43" i="2" s="1"/>
  <c r="I43" i="2"/>
  <c r="N43" i="2" s="1"/>
  <c r="Y42" i="2"/>
  <c r="L42" i="2"/>
  <c r="M42" i="2" s="1"/>
  <c r="I42" i="2"/>
  <c r="N42" i="2" s="1"/>
  <c r="Y41" i="2"/>
  <c r="L41" i="2"/>
  <c r="M41" i="2" s="1"/>
  <c r="I41" i="2"/>
  <c r="N41" i="2" s="1"/>
  <c r="Y40" i="2"/>
  <c r="L40" i="2"/>
  <c r="M40" i="2" s="1"/>
  <c r="I40" i="2"/>
  <c r="N40" i="2" s="1"/>
  <c r="Y39" i="2"/>
  <c r="L39" i="2"/>
  <c r="M39" i="2" s="1"/>
  <c r="I39" i="2"/>
  <c r="N39" i="2" s="1"/>
  <c r="Y38" i="2"/>
  <c r="L38" i="2"/>
  <c r="M38" i="2" s="1"/>
  <c r="I38" i="2"/>
  <c r="N38" i="2" s="1"/>
  <c r="Y37" i="2"/>
  <c r="L37" i="2"/>
  <c r="M37" i="2" s="1"/>
  <c r="I37" i="2"/>
  <c r="N37" i="2" s="1"/>
  <c r="Y36" i="2"/>
  <c r="L36" i="2"/>
  <c r="M36" i="2" s="1"/>
  <c r="I36" i="2"/>
  <c r="N36" i="2" s="1"/>
  <c r="Y35" i="2"/>
  <c r="L35" i="2"/>
  <c r="M35" i="2" s="1"/>
  <c r="I35" i="2"/>
  <c r="N35" i="2" s="1"/>
  <c r="Y34" i="2"/>
  <c r="L34" i="2"/>
  <c r="M34" i="2" s="1"/>
  <c r="I34" i="2"/>
  <c r="N34" i="2" s="1"/>
  <c r="Y33" i="2"/>
  <c r="L33" i="2"/>
  <c r="M33" i="2" s="1"/>
  <c r="I33" i="2"/>
  <c r="N33" i="2" s="1"/>
  <c r="Y32" i="2"/>
  <c r="L32" i="2"/>
  <c r="M32" i="2" s="1"/>
  <c r="I32" i="2"/>
  <c r="N32" i="2" s="1"/>
  <c r="Y31" i="2"/>
  <c r="L31" i="2"/>
  <c r="M31" i="2" s="1"/>
  <c r="I31" i="2"/>
  <c r="N31" i="2" s="1"/>
  <c r="Y30" i="2"/>
  <c r="L30" i="2"/>
  <c r="M30" i="2" s="1"/>
  <c r="I30" i="2"/>
  <c r="N30" i="2" s="1"/>
  <c r="Y29" i="2"/>
  <c r="L29" i="2"/>
  <c r="M29" i="2" s="1"/>
  <c r="I29" i="2"/>
  <c r="N29" i="2" s="1"/>
  <c r="Y28" i="2"/>
  <c r="L28" i="2"/>
  <c r="M28" i="2" s="1"/>
  <c r="I28" i="2"/>
  <c r="N28" i="2" s="1"/>
  <c r="Y27" i="2"/>
  <c r="L27" i="2"/>
  <c r="M27" i="2" s="1"/>
  <c r="I27" i="2"/>
  <c r="N27" i="2" s="1"/>
  <c r="Y26" i="2"/>
  <c r="L26" i="2"/>
  <c r="M26" i="2" s="1"/>
  <c r="I26" i="2"/>
  <c r="N26" i="2" s="1"/>
  <c r="Y25" i="2"/>
  <c r="L25" i="2"/>
  <c r="M25" i="2" s="1"/>
  <c r="I25" i="2"/>
  <c r="N25" i="2" s="1"/>
  <c r="Y24" i="2"/>
  <c r="L24" i="2"/>
  <c r="M24" i="2" s="1"/>
  <c r="I24" i="2"/>
  <c r="N24" i="2" s="1"/>
  <c r="Y23" i="2"/>
  <c r="L23" i="2"/>
  <c r="M23" i="2" s="1"/>
  <c r="I23" i="2"/>
  <c r="N23" i="2" s="1"/>
  <c r="Y22" i="2"/>
  <c r="L22" i="2"/>
  <c r="M22" i="2" s="1"/>
  <c r="I22" i="2"/>
  <c r="N22" i="2" s="1"/>
  <c r="Y21" i="2"/>
  <c r="L21" i="2"/>
  <c r="M21" i="2" s="1"/>
  <c r="I21" i="2"/>
  <c r="N21" i="2" s="1"/>
  <c r="Y20" i="2"/>
  <c r="L20" i="2"/>
  <c r="M20" i="2" s="1"/>
  <c r="I20" i="2"/>
  <c r="N20" i="2" s="1"/>
  <c r="Y19" i="2"/>
  <c r="L19" i="2"/>
  <c r="M19" i="2" s="1"/>
  <c r="I19" i="2"/>
  <c r="N19" i="2" s="1"/>
  <c r="Y18" i="2"/>
  <c r="L18" i="2"/>
  <c r="M18" i="2" s="1"/>
  <c r="I18" i="2"/>
  <c r="N18" i="2" s="1"/>
  <c r="Y17" i="2"/>
  <c r="L17" i="2"/>
  <c r="M17" i="2" s="1"/>
  <c r="I17" i="2"/>
  <c r="N17" i="2" s="1"/>
  <c r="Y16" i="2"/>
  <c r="L16" i="2"/>
  <c r="M16" i="2" s="1"/>
  <c r="I16" i="2"/>
  <c r="N16" i="2" s="1"/>
  <c r="Y15" i="2"/>
  <c r="L15" i="2"/>
  <c r="M15" i="2" s="1"/>
  <c r="I15" i="2"/>
  <c r="N15" i="2" s="1"/>
  <c r="Y14" i="2"/>
  <c r="L14" i="2"/>
  <c r="M14" i="2" s="1"/>
  <c r="I14" i="2"/>
  <c r="N14" i="2" s="1"/>
  <c r="Y13" i="2"/>
  <c r="L13" i="2"/>
  <c r="M13" i="2" s="1"/>
  <c r="I13" i="2"/>
  <c r="N13" i="2" s="1"/>
  <c r="Y12" i="2"/>
  <c r="L12" i="2"/>
  <c r="M12" i="2" s="1"/>
  <c r="I12" i="2"/>
  <c r="N12" i="2" s="1"/>
  <c r="Y11" i="2"/>
  <c r="L11" i="2"/>
  <c r="M11" i="2" s="1"/>
  <c r="I11" i="2"/>
  <c r="N11" i="2" s="1"/>
  <c r="Y10" i="2"/>
  <c r="L10" i="2"/>
  <c r="M10" i="2" s="1"/>
  <c r="I10" i="2"/>
  <c r="N10" i="2" s="1"/>
  <c r="Y9" i="2"/>
  <c r="L9" i="2"/>
  <c r="M9" i="2" s="1"/>
  <c r="I9" i="2"/>
  <c r="N9" i="2" s="1"/>
  <c r="Y8" i="2"/>
  <c r="L8" i="2"/>
  <c r="M8" i="2" s="1"/>
  <c r="I8" i="2"/>
  <c r="N8" i="2" s="1"/>
  <c r="Y7" i="2"/>
  <c r="L7" i="2"/>
  <c r="M7" i="2" s="1"/>
  <c r="I7" i="2"/>
  <c r="N7" i="2" s="1"/>
  <c r="Y6" i="2"/>
  <c r="L6" i="2"/>
  <c r="M6" i="2" s="1"/>
  <c r="I6" i="2"/>
  <c r="N6" i="2" s="1"/>
  <c r="Y5" i="2"/>
  <c r="L5" i="2"/>
  <c r="M5" i="2" s="1"/>
  <c r="I5" i="2"/>
  <c r="N5" i="2" s="1"/>
  <c r="Y4" i="2"/>
  <c r="L4" i="2"/>
  <c r="M4" i="2" s="1"/>
  <c r="I4" i="2"/>
  <c r="N4" i="2" s="1"/>
  <c r="Y3" i="2"/>
  <c r="L3" i="2"/>
  <c r="M3" i="2" s="1"/>
  <c r="I3" i="2"/>
  <c r="N3" i="2" s="1"/>
  <c r="Y2" i="2"/>
  <c r="L2" i="2"/>
  <c r="M2" i="2" s="1"/>
  <c r="I2" i="2"/>
  <c r="N2" i="2" s="1"/>
  <c r="Y247" i="2"/>
  <c r="L247" i="2"/>
  <c r="M247" i="2" s="1"/>
  <c r="I247" i="2"/>
  <c r="N247" i="2" s="1"/>
  <c r="Y246" i="2"/>
  <c r="L246" i="2"/>
  <c r="M246" i="2" s="1"/>
  <c r="I246" i="2"/>
  <c r="N246" i="2" s="1"/>
  <c r="AE245" i="2"/>
  <c r="AD245" i="2"/>
  <c r="AC245" i="2"/>
  <c r="Y245" i="2"/>
  <c r="L245" i="2"/>
  <c r="M245" i="2" s="1"/>
  <c r="I245" i="2"/>
  <c r="N245" i="2" s="1"/>
  <c r="AE244" i="2"/>
  <c r="AD244" i="2"/>
  <c r="AC244" i="2"/>
  <c r="Y244" i="2"/>
  <c r="L244" i="2"/>
  <c r="M244" i="2" s="1"/>
  <c r="I244" i="2"/>
  <c r="N244" i="2" s="1"/>
  <c r="Y243" i="2"/>
  <c r="L243" i="2"/>
  <c r="M243" i="2" s="1"/>
  <c r="I243" i="2"/>
  <c r="N243" i="2" s="1"/>
  <c r="Y242" i="2"/>
  <c r="L242" i="2"/>
  <c r="M242" i="2" s="1"/>
  <c r="I242" i="2"/>
  <c r="N242" i="2" s="1"/>
  <c r="Y241" i="2"/>
  <c r="L241" i="2"/>
  <c r="M241" i="2" s="1"/>
  <c r="I241" i="2"/>
  <c r="N241" i="2" s="1"/>
  <c r="Y240" i="2"/>
  <c r="L240" i="2"/>
  <c r="M240" i="2" s="1"/>
  <c r="I240" i="2"/>
  <c r="N240" i="2" s="1"/>
  <c r="Y239" i="2"/>
  <c r="L239" i="2"/>
  <c r="M239" i="2" s="1"/>
  <c r="I239" i="2"/>
  <c r="N239" i="2" s="1"/>
  <c r="Y238" i="2"/>
  <c r="L238" i="2"/>
  <c r="M238" i="2" s="1"/>
  <c r="I238" i="2"/>
  <c r="N238" i="2" s="1"/>
  <c r="Y237" i="2"/>
  <c r="L237" i="2"/>
  <c r="M237" i="2" s="1"/>
  <c r="I237" i="2"/>
  <c r="N237" i="2" s="1"/>
  <c r="Y236" i="2"/>
  <c r="L236" i="2"/>
  <c r="M236" i="2" s="1"/>
  <c r="I236" i="2"/>
  <c r="N236" i="2" s="1"/>
  <c r="Y235" i="2"/>
  <c r="L235" i="2"/>
  <c r="M235" i="2" s="1"/>
  <c r="I235" i="2"/>
  <c r="N235" i="2" s="1"/>
  <c r="Y234" i="2"/>
  <c r="L234" i="2"/>
  <c r="M234" i="2" s="1"/>
  <c r="I234" i="2"/>
  <c r="N234" i="2" s="1"/>
  <c r="Y233" i="2"/>
  <c r="L233" i="2"/>
  <c r="M233" i="2" s="1"/>
  <c r="I233" i="2"/>
  <c r="N233" i="2" s="1"/>
  <c r="Y232" i="2"/>
  <c r="L232" i="2"/>
  <c r="M232" i="2" s="1"/>
  <c r="I232" i="2"/>
  <c r="N232" i="2" s="1"/>
  <c r="Y231" i="2"/>
  <c r="L231" i="2"/>
  <c r="M231" i="2" s="1"/>
  <c r="I231" i="2"/>
  <c r="N231" i="2" s="1"/>
  <c r="Y230" i="2"/>
  <c r="L230" i="2"/>
  <c r="M230" i="2" s="1"/>
  <c r="I230" i="2"/>
  <c r="N230" i="2" s="1"/>
  <c r="Y229" i="2"/>
  <c r="L229" i="2"/>
  <c r="M229" i="2" s="1"/>
  <c r="I229" i="2"/>
  <c r="N229" i="2" s="1"/>
  <c r="Y228" i="2"/>
  <c r="L228" i="2"/>
  <c r="M228" i="2" s="1"/>
  <c r="I228" i="2"/>
  <c r="N228" i="2" s="1"/>
  <c r="Y227" i="2"/>
  <c r="L227" i="2"/>
  <c r="M227" i="2" s="1"/>
  <c r="I227" i="2"/>
  <c r="N227" i="2" s="1"/>
  <c r="Y226" i="2"/>
  <c r="L226" i="2"/>
  <c r="M226" i="2" s="1"/>
  <c r="I226" i="2"/>
  <c r="N226" i="2" s="1"/>
  <c r="Y225" i="2"/>
  <c r="L225" i="2"/>
  <c r="M225" i="2" s="1"/>
  <c r="I225" i="2"/>
  <c r="N225" i="2" s="1"/>
  <c r="Y224" i="2"/>
  <c r="L224" i="2"/>
  <c r="M224" i="2" s="1"/>
  <c r="I224" i="2"/>
  <c r="N224" i="2" s="1"/>
  <c r="Y223" i="2"/>
  <c r="L223" i="2"/>
  <c r="M223" i="2" s="1"/>
  <c r="I223" i="2"/>
  <c r="N223" i="2" s="1"/>
  <c r="Y222" i="2"/>
  <c r="L222" i="2"/>
  <c r="M222" i="2" s="1"/>
  <c r="I222" i="2"/>
  <c r="N222" i="2" s="1"/>
  <c r="AD221" i="2"/>
  <c r="AC221" i="2"/>
  <c r="Y221" i="2"/>
  <c r="L221" i="2"/>
  <c r="M221" i="2" s="1"/>
  <c r="I221" i="2"/>
  <c r="N221" i="2" s="1"/>
  <c r="AD220" i="2"/>
  <c r="AC220" i="2"/>
  <c r="Y220" i="2"/>
  <c r="L220" i="2"/>
  <c r="M220" i="2" s="1"/>
  <c r="I220" i="2"/>
  <c r="N220" i="2" s="1"/>
  <c r="AD219" i="2"/>
  <c r="AC219" i="2"/>
  <c r="Y219" i="2"/>
  <c r="L219" i="2"/>
  <c r="M219" i="2" s="1"/>
  <c r="I219" i="2"/>
  <c r="N219" i="2" s="1"/>
  <c r="AD218" i="2"/>
  <c r="AC218" i="2"/>
  <c r="Y218" i="2"/>
  <c r="L218" i="2"/>
  <c r="M218" i="2" s="1"/>
  <c r="I218" i="2"/>
  <c r="N218" i="2" s="1"/>
  <c r="AD217" i="2"/>
  <c r="AC217" i="2"/>
  <c r="Y217" i="2"/>
  <c r="L217" i="2"/>
  <c r="M217" i="2" s="1"/>
  <c r="I217" i="2"/>
  <c r="N217" i="2" s="1"/>
  <c r="AD216" i="2"/>
  <c r="AC216" i="2"/>
  <c r="Y216" i="2"/>
  <c r="L216" i="2"/>
  <c r="M216" i="2" s="1"/>
  <c r="I216" i="2"/>
  <c r="N216" i="2" s="1"/>
  <c r="Y215" i="2"/>
  <c r="L215" i="2"/>
  <c r="M215" i="2" s="1"/>
  <c r="I215" i="2"/>
  <c r="N215" i="2" s="1"/>
  <c r="Y214" i="2"/>
  <c r="L214" i="2"/>
  <c r="M214" i="2" s="1"/>
  <c r="I214" i="2"/>
  <c r="N214" i="2" s="1"/>
  <c r="Y213" i="2"/>
  <c r="L213" i="2"/>
  <c r="M213" i="2" s="1"/>
  <c r="I213" i="2"/>
  <c r="N213" i="2" s="1"/>
  <c r="Y212" i="2"/>
  <c r="L212" i="2"/>
  <c r="M212" i="2" s="1"/>
  <c r="I212" i="2"/>
  <c r="N212" i="2" s="1"/>
  <c r="Y211" i="2"/>
  <c r="L211" i="2"/>
  <c r="M211" i="2" s="1"/>
  <c r="I211" i="2"/>
  <c r="N211" i="2" s="1"/>
  <c r="Y210" i="2"/>
  <c r="L210" i="2"/>
  <c r="M210" i="2" s="1"/>
  <c r="I210" i="2"/>
  <c r="N210" i="2" s="1"/>
  <c r="Y209" i="2"/>
  <c r="L209" i="2"/>
  <c r="M209" i="2" s="1"/>
  <c r="I209" i="2"/>
  <c r="N209" i="2" s="1"/>
  <c r="Y208" i="2"/>
  <c r="L208" i="2"/>
  <c r="M208" i="2" s="1"/>
  <c r="I208" i="2"/>
  <c r="N208" i="2" s="1"/>
  <c r="Y207" i="2"/>
  <c r="L207" i="2"/>
  <c r="M207" i="2" s="1"/>
  <c r="I207" i="2"/>
  <c r="N207" i="2" s="1"/>
  <c r="Y206" i="2"/>
  <c r="L206" i="2"/>
  <c r="M206" i="2" s="1"/>
  <c r="I206" i="2"/>
  <c r="N206" i="2" s="1"/>
  <c r="Y205" i="2"/>
  <c r="L205" i="2"/>
  <c r="M205" i="2" s="1"/>
  <c r="I205" i="2"/>
  <c r="N205" i="2" s="1"/>
  <c r="Y204" i="2"/>
  <c r="L204" i="2"/>
  <c r="M204" i="2" s="1"/>
  <c r="I204" i="2"/>
  <c r="N204" i="2" s="1"/>
  <c r="Y203" i="2"/>
  <c r="L203" i="2"/>
  <c r="M203" i="2" s="1"/>
  <c r="I203" i="2"/>
  <c r="N203" i="2" s="1"/>
  <c r="Y202" i="2"/>
  <c r="L202" i="2"/>
  <c r="M202" i="2" s="1"/>
  <c r="I202" i="2"/>
  <c r="N202" i="2" s="1"/>
  <c r="Y201" i="2"/>
  <c r="L201" i="2"/>
  <c r="M201" i="2" s="1"/>
  <c r="I201" i="2"/>
  <c r="N201" i="2" s="1"/>
  <c r="Y200" i="2"/>
  <c r="L200" i="2"/>
  <c r="M200" i="2" s="1"/>
  <c r="I200" i="2"/>
  <c r="N200" i="2" s="1"/>
  <c r="Y199" i="2"/>
  <c r="L199" i="2"/>
  <c r="M199" i="2" s="1"/>
  <c r="I199" i="2"/>
  <c r="N199" i="2" s="1"/>
  <c r="Y198" i="2"/>
  <c r="L198" i="2"/>
  <c r="M198" i="2" s="1"/>
  <c r="I198" i="2"/>
  <c r="N198" i="2" s="1"/>
  <c r="Y197" i="2"/>
  <c r="L197" i="2"/>
  <c r="M197" i="2" s="1"/>
  <c r="I197" i="2"/>
  <c r="N197" i="2" s="1"/>
  <c r="Y196" i="2"/>
  <c r="L196" i="2"/>
  <c r="M196" i="2" s="1"/>
  <c r="I196" i="2"/>
  <c r="N196" i="2" s="1"/>
  <c r="Y195" i="2"/>
  <c r="L195" i="2"/>
  <c r="M195" i="2" s="1"/>
  <c r="I195" i="2"/>
  <c r="N195" i="2" s="1"/>
  <c r="Y194" i="2"/>
  <c r="L194" i="2"/>
  <c r="M194" i="2" s="1"/>
  <c r="I194" i="2"/>
  <c r="N194" i="2" s="1"/>
  <c r="Y193" i="2"/>
  <c r="L193" i="2"/>
  <c r="M193" i="2" s="1"/>
  <c r="I193" i="2"/>
  <c r="N193" i="2" s="1"/>
  <c r="Y192" i="2"/>
  <c r="L192" i="2"/>
  <c r="M192" i="2" s="1"/>
  <c r="I192" i="2"/>
  <c r="N192" i="2" s="1"/>
  <c r="Y191" i="2"/>
  <c r="L191" i="2"/>
  <c r="M191" i="2" s="1"/>
  <c r="I191" i="2"/>
  <c r="N191" i="2" s="1"/>
  <c r="Y190" i="2"/>
  <c r="L190" i="2"/>
  <c r="M190" i="2" s="1"/>
  <c r="I190" i="2"/>
  <c r="N190" i="2" s="1"/>
  <c r="Y189" i="2"/>
  <c r="L189" i="2"/>
  <c r="M189" i="2" s="1"/>
  <c r="I189" i="2"/>
  <c r="N189" i="2" s="1"/>
  <c r="Y188" i="2"/>
  <c r="L188" i="2"/>
  <c r="M188" i="2" s="1"/>
  <c r="I188" i="2"/>
  <c r="N188" i="2" s="1"/>
  <c r="Y187" i="2"/>
  <c r="L187" i="2"/>
  <c r="M187" i="2" s="1"/>
  <c r="I187" i="2"/>
  <c r="N187" i="2" s="1"/>
  <c r="Y186" i="2"/>
  <c r="L186" i="2"/>
  <c r="M186" i="2" s="1"/>
  <c r="I186" i="2"/>
  <c r="N186" i="2" s="1"/>
  <c r="Y185" i="2"/>
  <c r="L185" i="2"/>
  <c r="M185" i="2" s="1"/>
  <c r="I185" i="2"/>
  <c r="N185" i="2" s="1"/>
  <c r="Y184" i="2"/>
  <c r="L184" i="2"/>
  <c r="M184" i="2" s="1"/>
  <c r="I184" i="2"/>
  <c r="N184" i="2" s="1"/>
  <c r="Y183" i="2"/>
  <c r="L183" i="2"/>
  <c r="M183" i="2" s="1"/>
  <c r="I183" i="2"/>
  <c r="N183" i="2" s="1"/>
  <c r="Y182" i="2"/>
  <c r="L182" i="2"/>
  <c r="M182" i="2" s="1"/>
  <c r="I182" i="2"/>
  <c r="N182" i="2" s="1"/>
  <c r="AE181" i="2"/>
  <c r="AD181" i="2"/>
  <c r="AC181" i="2"/>
  <c r="Y181" i="2"/>
  <c r="L181" i="2"/>
  <c r="M181" i="2" s="1"/>
  <c r="I181" i="2"/>
  <c r="N181" i="2" s="1"/>
  <c r="AE180" i="2"/>
  <c r="AD180" i="2"/>
  <c r="AC180" i="2"/>
  <c r="Y180" i="2"/>
  <c r="L180" i="2"/>
  <c r="M180" i="2" s="1"/>
  <c r="I180" i="2"/>
  <c r="N180" i="2" s="1"/>
  <c r="AE179" i="2"/>
  <c r="AD179" i="2"/>
  <c r="AC179" i="2"/>
  <c r="Y179" i="2"/>
  <c r="L179" i="2"/>
  <c r="M179" i="2" s="1"/>
  <c r="I179" i="2"/>
  <c r="N179" i="2" s="1"/>
  <c r="AE178" i="2"/>
  <c r="AD178" i="2"/>
  <c r="AC178" i="2"/>
  <c r="Y178" i="2"/>
  <c r="L178" i="2"/>
  <c r="M178" i="2" s="1"/>
  <c r="I178" i="2"/>
  <c r="N178" i="2" s="1"/>
  <c r="Y177" i="2"/>
  <c r="L177" i="2"/>
  <c r="M177" i="2" s="1"/>
  <c r="I177" i="2"/>
  <c r="N177" i="2" s="1"/>
  <c r="Y176" i="2"/>
  <c r="L176" i="2"/>
  <c r="M176" i="2" s="1"/>
  <c r="I176" i="2"/>
  <c r="N176" i="2" s="1"/>
  <c r="Y175" i="2"/>
  <c r="L175" i="2"/>
  <c r="M175" i="2" s="1"/>
  <c r="I175" i="2"/>
  <c r="N175" i="2" s="1"/>
  <c r="Y174" i="2"/>
  <c r="L174" i="2"/>
  <c r="M174" i="2" s="1"/>
  <c r="I174" i="2"/>
  <c r="N174" i="2" s="1"/>
  <c r="Y173" i="2"/>
  <c r="L173" i="2"/>
  <c r="M173" i="2" s="1"/>
  <c r="I173" i="2"/>
  <c r="N173" i="2" s="1"/>
  <c r="Y172" i="2"/>
  <c r="L172" i="2"/>
  <c r="M172" i="2" s="1"/>
  <c r="I172" i="2"/>
  <c r="N172" i="2" s="1"/>
  <c r="AE171" i="2"/>
  <c r="AD171" i="2"/>
  <c r="AC171" i="2"/>
  <c r="Y171" i="2"/>
  <c r="L171" i="2"/>
  <c r="M171" i="2" s="1"/>
  <c r="I171" i="2"/>
  <c r="N171" i="2" s="1"/>
  <c r="AE170" i="2"/>
  <c r="AD170" i="2"/>
  <c r="AC170" i="2"/>
  <c r="Y170" i="2"/>
  <c r="L170" i="2"/>
  <c r="M170" i="2" s="1"/>
  <c r="I170" i="2"/>
  <c r="N170" i="2" s="1"/>
  <c r="AE169" i="2"/>
  <c r="AD169" i="2"/>
  <c r="AC169" i="2"/>
  <c r="Y169" i="2"/>
  <c r="L169" i="2"/>
  <c r="M169" i="2" s="1"/>
  <c r="I169" i="2"/>
  <c r="N169" i="2" s="1"/>
  <c r="AE168" i="2"/>
  <c r="AD168" i="2"/>
  <c r="AC168" i="2"/>
  <c r="Y168" i="2"/>
  <c r="L168" i="2"/>
  <c r="M168" i="2" s="1"/>
  <c r="I168" i="2"/>
  <c r="N168" i="2" s="1"/>
  <c r="Y167" i="2"/>
  <c r="L167" i="2"/>
  <c r="M167" i="2" s="1"/>
  <c r="I167" i="2"/>
  <c r="N167" i="2" s="1"/>
  <c r="Y166" i="2"/>
  <c r="L166" i="2"/>
  <c r="M166" i="2" s="1"/>
  <c r="I166" i="2"/>
  <c r="N166" i="2" s="1"/>
  <c r="Y165" i="2"/>
  <c r="L165" i="2"/>
  <c r="M165" i="2" s="1"/>
  <c r="I165" i="2"/>
  <c r="N165" i="2" s="1"/>
  <c r="Y164" i="2"/>
  <c r="L164" i="2"/>
  <c r="M164" i="2" s="1"/>
  <c r="I164" i="2"/>
  <c r="N164" i="2" s="1"/>
  <c r="Y163" i="2"/>
  <c r="L163" i="2"/>
  <c r="M163" i="2" s="1"/>
  <c r="I163" i="2"/>
  <c r="N163" i="2" s="1"/>
  <c r="Y162" i="2"/>
  <c r="L162" i="2"/>
  <c r="M162" i="2" s="1"/>
  <c r="I162" i="2"/>
  <c r="N162" i="2" s="1"/>
  <c r="Y161" i="2"/>
  <c r="L161" i="2"/>
  <c r="M161" i="2" s="1"/>
  <c r="I161" i="2"/>
  <c r="N161" i="2" s="1"/>
  <c r="Y160" i="2"/>
  <c r="L160" i="2"/>
  <c r="M160" i="2" s="1"/>
  <c r="I160" i="2"/>
  <c r="N160" i="2" s="1"/>
  <c r="Y159" i="2"/>
  <c r="L159" i="2"/>
  <c r="M159" i="2" s="1"/>
  <c r="I159" i="2"/>
  <c r="N159" i="2" s="1"/>
  <c r="Y158" i="2"/>
  <c r="L158" i="2"/>
  <c r="M158" i="2" s="1"/>
  <c r="I158" i="2"/>
  <c r="N158" i="2" s="1"/>
  <c r="Y157" i="2"/>
  <c r="L157" i="2"/>
  <c r="M157" i="2" s="1"/>
  <c r="I157" i="2"/>
  <c r="N157" i="2" s="1"/>
  <c r="Y156" i="2"/>
  <c r="L156" i="2"/>
  <c r="M156" i="2" s="1"/>
  <c r="I156" i="2"/>
  <c r="N156" i="2" s="1"/>
  <c r="Y155" i="2"/>
  <c r="L155" i="2"/>
  <c r="M155" i="2" s="1"/>
  <c r="I155" i="2"/>
  <c r="N155" i="2" s="1"/>
  <c r="Y154" i="2"/>
  <c r="L154" i="2"/>
  <c r="M154" i="2" s="1"/>
  <c r="I154" i="2"/>
  <c r="N154" i="2" s="1"/>
  <c r="Y153" i="2"/>
  <c r="L153" i="2"/>
  <c r="M153" i="2" s="1"/>
  <c r="I153" i="2"/>
  <c r="N153" i="2" s="1"/>
  <c r="Y152" i="2"/>
  <c r="L152" i="2"/>
  <c r="M152" i="2" s="1"/>
  <c r="I152" i="2"/>
  <c r="N152" i="2" s="1"/>
  <c r="Y151" i="2"/>
  <c r="L151" i="2"/>
  <c r="M151" i="2" s="1"/>
  <c r="I151" i="2"/>
  <c r="N151" i="2" s="1"/>
  <c r="Y150" i="2"/>
  <c r="L150" i="2"/>
  <c r="M150" i="2" s="1"/>
  <c r="I150" i="2"/>
  <c r="N150" i="2" s="1"/>
  <c r="Y149" i="2"/>
  <c r="L149" i="2"/>
  <c r="M149" i="2" s="1"/>
  <c r="I149" i="2"/>
  <c r="N149" i="2" s="1"/>
  <c r="Y148" i="2"/>
  <c r="L148" i="2"/>
  <c r="M148" i="2" s="1"/>
  <c r="I148" i="2"/>
  <c r="N148" i="2" s="1"/>
  <c r="Y147" i="2"/>
  <c r="L147" i="2"/>
  <c r="M147" i="2" s="1"/>
  <c r="I147" i="2"/>
  <c r="N147" i="2" s="1"/>
  <c r="Y146" i="2"/>
  <c r="L146" i="2"/>
  <c r="M146" i="2" s="1"/>
  <c r="I146" i="2"/>
  <c r="N146" i="2" s="1"/>
  <c r="Y145" i="2"/>
  <c r="L145" i="2"/>
  <c r="M145" i="2" s="1"/>
  <c r="I145" i="2"/>
  <c r="N145" i="2" s="1"/>
  <c r="Y144" i="2"/>
  <c r="L144" i="2"/>
  <c r="M144" i="2" s="1"/>
  <c r="I144" i="2"/>
  <c r="N144" i="2" s="1"/>
  <c r="Y143" i="2"/>
  <c r="L143" i="2"/>
  <c r="M143" i="2" s="1"/>
  <c r="I143" i="2"/>
  <c r="N143" i="2" s="1"/>
  <c r="Y142" i="2"/>
  <c r="L142" i="2"/>
  <c r="M142" i="2" s="1"/>
  <c r="I142" i="2"/>
  <c r="N142" i="2" s="1"/>
  <c r="Y141" i="2"/>
  <c r="N141" i="2"/>
  <c r="L141" i="2"/>
  <c r="M141" i="2" s="1"/>
  <c r="I141" i="2"/>
  <c r="Y140" i="2"/>
  <c r="L140" i="2"/>
  <c r="M140" i="2" s="1"/>
  <c r="I140" i="2"/>
  <c r="N140" i="2" s="1"/>
  <c r="Y139" i="2"/>
  <c r="L139" i="2"/>
  <c r="M139" i="2" s="1"/>
  <c r="I139" i="2"/>
  <c r="N139" i="2" s="1"/>
  <c r="Y138" i="2"/>
  <c r="L138" i="2"/>
  <c r="M138" i="2" s="1"/>
  <c r="I138" i="2"/>
  <c r="N138" i="2" s="1"/>
  <c r="Y137" i="2"/>
  <c r="L137" i="2"/>
  <c r="M137" i="2" s="1"/>
  <c r="I137" i="2"/>
  <c r="N137" i="2" s="1"/>
  <c r="Y136" i="2"/>
  <c r="L136" i="2"/>
  <c r="M136" i="2" s="1"/>
  <c r="I136" i="2"/>
  <c r="N136" i="2" s="1"/>
  <c r="Y135" i="2"/>
  <c r="L135" i="2"/>
  <c r="M135" i="2" s="1"/>
  <c r="I135" i="2"/>
  <c r="N135" i="2" s="1"/>
  <c r="Y134" i="2"/>
  <c r="L134" i="2"/>
  <c r="M134" i="2" s="1"/>
  <c r="I134" i="2"/>
  <c r="N134" i="2" s="1"/>
  <c r="Y133" i="2"/>
  <c r="L133" i="2"/>
  <c r="M133" i="2" s="1"/>
  <c r="I133" i="2"/>
  <c r="N133" i="2" s="1"/>
  <c r="Y132" i="2"/>
  <c r="L132" i="2"/>
  <c r="M132" i="2" s="1"/>
  <c r="I132" i="2"/>
  <c r="N132" i="2" s="1"/>
  <c r="Y131" i="2"/>
  <c r="L131" i="2"/>
  <c r="M131" i="2" s="1"/>
  <c r="I131" i="2"/>
  <c r="N131" i="2" s="1"/>
  <c r="Y130" i="2"/>
  <c r="L130" i="2"/>
  <c r="M130" i="2" s="1"/>
  <c r="I130" i="2"/>
  <c r="N130" i="2" s="1"/>
  <c r="Y129" i="2"/>
  <c r="L129" i="2"/>
  <c r="M129" i="2" s="1"/>
  <c r="I129" i="2"/>
  <c r="N129" i="2" s="1"/>
  <c r="Y128" i="2"/>
  <c r="L128" i="2"/>
  <c r="M128" i="2" s="1"/>
  <c r="I128" i="2"/>
  <c r="N128" i="2" s="1"/>
  <c r="Y127" i="2"/>
  <c r="L127" i="2"/>
  <c r="M127" i="2" s="1"/>
  <c r="I127" i="2"/>
  <c r="N127" i="2" s="1"/>
  <c r="Y126" i="2"/>
  <c r="L126" i="2"/>
  <c r="M126" i="2" s="1"/>
  <c r="I126" i="2"/>
  <c r="N126" i="2" s="1"/>
  <c r="Y125" i="2"/>
  <c r="L125" i="2"/>
  <c r="M125" i="2" s="1"/>
  <c r="I125" i="2"/>
  <c r="N125" i="2" s="1"/>
  <c r="Y124" i="2"/>
  <c r="L124" i="2"/>
  <c r="M124" i="2" s="1"/>
  <c r="I124" i="2"/>
  <c r="N124" i="2" s="1"/>
  <c r="Y123" i="2"/>
  <c r="L123" i="2"/>
  <c r="M123" i="2" s="1"/>
  <c r="I123" i="2"/>
  <c r="N123" i="2" s="1"/>
  <c r="Y122" i="2"/>
  <c r="L122" i="2"/>
  <c r="M122" i="2" s="1"/>
  <c r="I122" i="2"/>
  <c r="N122" i="2" s="1"/>
  <c r="Y121" i="2"/>
  <c r="L121" i="2"/>
  <c r="M121" i="2" s="1"/>
  <c r="I121" i="2"/>
  <c r="N121" i="2" s="1"/>
  <c r="Y120" i="2"/>
  <c r="L120" i="2"/>
  <c r="M120" i="2" s="1"/>
  <c r="I120" i="2"/>
  <c r="N120" i="2" s="1"/>
  <c r="Y119" i="2"/>
  <c r="L119" i="2"/>
  <c r="M119" i="2" s="1"/>
  <c r="I119" i="2"/>
  <c r="N119" i="2" s="1"/>
  <c r="Y118" i="2"/>
  <c r="L118" i="2"/>
  <c r="M118" i="2" s="1"/>
  <c r="I118" i="2"/>
  <c r="N118" i="2" s="1"/>
  <c r="Y117" i="2"/>
  <c r="L117" i="2"/>
  <c r="M117" i="2" s="1"/>
  <c r="I117" i="2"/>
  <c r="N117" i="2" s="1"/>
  <c r="Y116" i="2"/>
  <c r="L116" i="2"/>
  <c r="M116" i="2" s="1"/>
  <c r="I116" i="2"/>
  <c r="N116" i="2" s="1"/>
  <c r="Y115" i="2"/>
  <c r="L115" i="2"/>
  <c r="M115" i="2" s="1"/>
  <c r="I115" i="2"/>
  <c r="N115" i="2" s="1"/>
  <c r="Y114" i="2"/>
  <c r="L114" i="2"/>
  <c r="M114" i="2" s="1"/>
  <c r="I114" i="2"/>
  <c r="N114" i="2" s="1"/>
  <c r="Y113" i="2"/>
  <c r="L113" i="2"/>
  <c r="M113" i="2" s="1"/>
  <c r="I113" i="2"/>
  <c r="N113" i="2" s="1"/>
  <c r="Y112" i="2"/>
  <c r="L112" i="2"/>
  <c r="M112" i="2" s="1"/>
  <c r="I112" i="2"/>
  <c r="N112" i="2" s="1"/>
  <c r="Y111" i="2"/>
  <c r="L111" i="2"/>
  <c r="M111" i="2" s="1"/>
  <c r="I111" i="2"/>
  <c r="N111" i="2" s="1"/>
  <c r="Y323" i="2"/>
  <c r="L323" i="2"/>
  <c r="M323" i="2" s="1"/>
  <c r="I323" i="2"/>
  <c r="N323" i="2" s="1"/>
  <c r="Y322" i="2"/>
  <c r="L322" i="2"/>
  <c r="M322" i="2" s="1"/>
  <c r="I322" i="2"/>
  <c r="N322" i="2" s="1"/>
  <c r="AE321" i="2"/>
  <c r="AD321" i="2"/>
  <c r="AC321" i="2"/>
  <c r="Y321" i="2"/>
  <c r="L321" i="2"/>
  <c r="M321" i="2" s="1"/>
  <c r="I321" i="2"/>
  <c r="N321" i="2" s="1"/>
  <c r="AE320" i="2"/>
  <c r="AD320" i="2"/>
  <c r="AC320" i="2"/>
  <c r="Y320" i="2"/>
  <c r="L320" i="2"/>
  <c r="M320" i="2" s="1"/>
  <c r="I320" i="2"/>
  <c r="N320" i="2" s="1"/>
  <c r="Y319" i="2"/>
  <c r="L319" i="2"/>
  <c r="M319" i="2" s="1"/>
  <c r="I319" i="2"/>
  <c r="N319" i="2" s="1"/>
  <c r="Y318" i="2"/>
  <c r="L318" i="2"/>
  <c r="M318" i="2" s="1"/>
  <c r="I318" i="2"/>
  <c r="N318" i="2" s="1"/>
  <c r="Y317" i="2"/>
  <c r="L317" i="2"/>
  <c r="M317" i="2" s="1"/>
  <c r="I317" i="2"/>
  <c r="N317" i="2" s="1"/>
  <c r="Y316" i="2"/>
  <c r="L316" i="2"/>
  <c r="M316" i="2" s="1"/>
  <c r="I316" i="2"/>
  <c r="N316" i="2" s="1"/>
  <c r="Y315" i="2"/>
  <c r="L315" i="2"/>
  <c r="M315" i="2" s="1"/>
  <c r="I315" i="2"/>
  <c r="N315" i="2" s="1"/>
  <c r="Y314" i="2"/>
  <c r="L314" i="2"/>
  <c r="M314" i="2" s="1"/>
  <c r="I314" i="2"/>
  <c r="N314" i="2" s="1"/>
  <c r="Y313" i="2"/>
  <c r="L313" i="2"/>
  <c r="M313" i="2" s="1"/>
  <c r="I313" i="2"/>
  <c r="N313" i="2" s="1"/>
  <c r="Y312" i="2"/>
  <c r="L312" i="2"/>
  <c r="M312" i="2" s="1"/>
  <c r="I312" i="2"/>
  <c r="N312" i="2" s="1"/>
  <c r="Y311" i="2"/>
  <c r="L311" i="2"/>
  <c r="M311" i="2" s="1"/>
  <c r="I311" i="2"/>
  <c r="N311" i="2" s="1"/>
  <c r="Y310" i="2"/>
  <c r="L310" i="2"/>
  <c r="M310" i="2" s="1"/>
  <c r="I310" i="2"/>
  <c r="N310" i="2" s="1"/>
  <c r="Y309" i="2"/>
  <c r="L309" i="2"/>
  <c r="M309" i="2" s="1"/>
  <c r="I309" i="2"/>
  <c r="N309" i="2" s="1"/>
  <c r="Y308" i="2"/>
  <c r="L308" i="2"/>
  <c r="M308" i="2" s="1"/>
  <c r="I308" i="2"/>
  <c r="N308" i="2" s="1"/>
  <c r="Y307" i="2"/>
  <c r="L307" i="2"/>
  <c r="M307" i="2" s="1"/>
  <c r="I307" i="2"/>
  <c r="N307" i="2" s="1"/>
  <c r="AD306" i="2"/>
  <c r="AC306" i="2"/>
  <c r="Y306" i="2"/>
  <c r="L306" i="2"/>
  <c r="M306" i="2" s="1"/>
  <c r="I306" i="2"/>
  <c r="N306" i="2" s="1"/>
  <c r="AD305" i="2"/>
  <c r="AC305" i="2"/>
  <c r="Y305" i="2"/>
  <c r="L305" i="2"/>
  <c r="M305" i="2" s="1"/>
  <c r="I305" i="2"/>
  <c r="N305" i="2" s="1"/>
  <c r="AD304" i="2"/>
  <c r="AC304" i="2"/>
  <c r="Y304" i="2"/>
  <c r="L304" i="2"/>
  <c r="M304" i="2" s="1"/>
  <c r="I304" i="2"/>
  <c r="N304" i="2" s="1"/>
  <c r="AD303" i="2"/>
  <c r="AC303" i="2"/>
  <c r="Y303" i="2"/>
  <c r="L303" i="2"/>
  <c r="M303" i="2" s="1"/>
  <c r="I303" i="2"/>
  <c r="N303" i="2" s="1"/>
  <c r="Y302" i="2"/>
  <c r="L302" i="2"/>
  <c r="M302" i="2" s="1"/>
  <c r="I302" i="2"/>
  <c r="N302" i="2" s="1"/>
  <c r="Y301" i="2"/>
  <c r="L301" i="2"/>
  <c r="M301" i="2" s="1"/>
  <c r="I301" i="2"/>
  <c r="N301" i="2" s="1"/>
  <c r="Y300" i="2"/>
  <c r="L300" i="2"/>
  <c r="M300" i="2" s="1"/>
  <c r="I300" i="2"/>
  <c r="N300" i="2" s="1"/>
  <c r="Y299" i="2"/>
  <c r="L299" i="2"/>
  <c r="M299" i="2" s="1"/>
  <c r="I299" i="2"/>
  <c r="N299" i="2" s="1"/>
  <c r="Y298" i="2"/>
  <c r="L298" i="2"/>
  <c r="M298" i="2" s="1"/>
  <c r="I298" i="2"/>
  <c r="N298" i="2" s="1"/>
  <c r="Y297" i="2"/>
  <c r="L297" i="2"/>
  <c r="M297" i="2" s="1"/>
  <c r="I297" i="2"/>
  <c r="N297" i="2" s="1"/>
  <c r="Y296" i="2"/>
  <c r="L296" i="2"/>
  <c r="M296" i="2" s="1"/>
  <c r="I296" i="2"/>
  <c r="N296" i="2" s="1"/>
  <c r="Y295" i="2"/>
  <c r="L295" i="2"/>
  <c r="M295" i="2" s="1"/>
  <c r="I295" i="2"/>
  <c r="N295" i="2" s="1"/>
  <c r="Y294" i="2"/>
  <c r="L294" i="2"/>
  <c r="M294" i="2" s="1"/>
  <c r="I294" i="2"/>
  <c r="N294" i="2" s="1"/>
  <c r="Y293" i="2"/>
  <c r="L293" i="2"/>
  <c r="M293" i="2" s="1"/>
  <c r="I293" i="2"/>
  <c r="N293" i="2" s="1"/>
  <c r="Y292" i="2"/>
  <c r="L292" i="2"/>
  <c r="M292" i="2" s="1"/>
  <c r="I292" i="2"/>
  <c r="N292" i="2" s="1"/>
  <c r="Y291" i="2"/>
  <c r="L291" i="2"/>
  <c r="M291" i="2" s="1"/>
  <c r="I291" i="2"/>
  <c r="N291" i="2" s="1"/>
  <c r="Y290" i="2"/>
  <c r="L290" i="2"/>
  <c r="M290" i="2" s="1"/>
  <c r="I290" i="2"/>
  <c r="N290" i="2" s="1"/>
  <c r="Y289" i="2"/>
  <c r="L289" i="2"/>
  <c r="M289" i="2" s="1"/>
  <c r="I289" i="2"/>
  <c r="N289" i="2" s="1"/>
  <c r="AE288" i="2"/>
  <c r="AD288" i="2"/>
  <c r="AC288" i="2"/>
  <c r="Y288" i="2"/>
  <c r="L288" i="2"/>
  <c r="M288" i="2" s="1"/>
  <c r="I288" i="2"/>
  <c r="N288" i="2" s="1"/>
  <c r="AE287" i="2"/>
  <c r="AD287" i="2"/>
  <c r="AC287" i="2"/>
  <c r="Y287" i="2"/>
  <c r="L287" i="2"/>
  <c r="M287" i="2" s="1"/>
  <c r="I287" i="2"/>
  <c r="N287" i="2" s="1"/>
  <c r="AE286" i="2"/>
  <c r="AD286" i="2"/>
  <c r="AC286" i="2"/>
  <c r="Y286" i="2"/>
  <c r="L286" i="2"/>
  <c r="M286" i="2" s="1"/>
  <c r="I286" i="2"/>
  <c r="N286" i="2" s="1"/>
  <c r="AE285" i="2"/>
  <c r="AD285" i="2"/>
  <c r="AC285" i="2"/>
  <c r="Y285" i="2"/>
  <c r="L285" i="2"/>
  <c r="M285" i="2" s="1"/>
  <c r="I285" i="2"/>
  <c r="N285" i="2" s="1"/>
  <c r="Y284" i="2"/>
  <c r="L284" i="2"/>
  <c r="M284" i="2" s="1"/>
  <c r="I284" i="2"/>
  <c r="N284" i="2" s="1"/>
  <c r="Y283" i="2"/>
  <c r="L283" i="2"/>
  <c r="M283" i="2" s="1"/>
  <c r="I283" i="2"/>
  <c r="N283" i="2" s="1"/>
  <c r="Y282" i="2"/>
  <c r="L282" i="2"/>
  <c r="M282" i="2" s="1"/>
  <c r="I282" i="2"/>
  <c r="N282" i="2" s="1"/>
  <c r="AE281" i="2"/>
  <c r="AD281" i="2"/>
  <c r="AC281" i="2"/>
  <c r="Y281" i="2"/>
  <c r="L281" i="2"/>
  <c r="M281" i="2" s="1"/>
  <c r="I281" i="2"/>
  <c r="N281" i="2" s="1"/>
  <c r="AE280" i="2"/>
  <c r="AD280" i="2"/>
  <c r="AC280" i="2"/>
  <c r="Y280" i="2"/>
  <c r="L280" i="2"/>
  <c r="M280" i="2" s="1"/>
  <c r="I280" i="2"/>
  <c r="N280" i="2" s="1"/>
  <c r="AE279" i="2"/>
  <c r="AD279" i="2"/>
  <c r="AC279" i="2"/>
  <c r="Y279" i="2"/>
  <c r="L279" i="2"/>
  <c r="M279" i="2" s="1"/>
  <c r="I279" i="2"/>
  <c r="N279" i="2" s="1"/>
  <c r="Y278" i="2"/>
  <c r="L278" i="2"/>
  <c r="M278" i="2" s="1"/>
  <c r="I278" i="2"/>
  <c r="N278" i="2" s="1"/>
  <c r="Y277" i="2"/>
  <c r="L277" i="2"/>
  <c r="M277" i="2" s="1"/>
  <c r="I277" i="2"/>
  <c r="N277" i="2" s="1"/>
  <c r="Y276" i="2"/>
  <c r="L276" i="2"/>
  <c r="M276" i="2" s="1"/>
  <c r="I276" i="2"/>
  <c r="N276" i="2" s="1"/>
  <c r="Y275" i="2"/>
  <c r="L275" i="2"/>
  <c r="M275" i="2" s="1"/>
  <c r="I275" i="2"/>
  <c r="N275" i="2" s="1"/>
  <c r="Y274" i="2"/>
  <c r="L274" i="2"/>
  <c r="M274" i="2" s="1"/>
  <c r="I274" i="2"/>
  <c r="N274" i="2" s="1"/>
  <c r="Y273" i="2"/>
  <c r="L273" i="2"/>
  <c r="M273" i="2" s="1"/>
  <c r="I273" i="2"/>
  <c r="N273" i="2" s="1"/>
  <c r="Y272" i="2"/>
  <c r="L272" i="2"/>
  <c r="M272" i="2" s="1"/>
  <c r="I272" i="2"/>
  <c r="N272" i="2" s="1"/>
  <c r="Y271" i="2"/>
  <c r="L271" i="2"/>
  <c r="M271" i="2" s="1"/>
  <c r="I271" i="2"/>
  <c r="N271" i="2" s="1"/>
  <c r="Y270" i="2"/>
  <c r="L270" i="2"/>
  <c r="M270" i="2" s="1"/>
  <c r="I270" i="2"/>
  <c r="N270" i="2" s="1"/>
  <c r="Y269" i="2"/>
  <c r="L269" i="2"/>
  <c r="M269" i="2" s="1"/>
  <c r="I269" i="2"/>
  <c r="N269" i="2" s="1"/>
  <c r="Y268" i="2"/>
  <c r="L268" i="2"/>
  <c r="M268" i="2" s="1"/>
  <c r="I268" i="2"/>
  <c r="N268" i="2" s="1"/>
  <c r="Y267" i="2"/>
  <c r="L267" i="2"/>
  <c r="M267" i="2" s="1"/>
  <c r="I267" i="2"/>
  <c r="N267" i="2" s="1"/>
  <c r="Y266" i="2"/>
  <c r="L266" i="2"/>
  <c r="M266" i="2" s="1"/>
  <c r="I266" i="2"/>
  <c r="N266" i="2" s="1"/>
  <c r="Y265" i="2"/>
  <c r="L265" i="2"/>
  <c r="M265" i="2" s="1"/>
  <c r="I265" i="2"/>
  <c r="N265" i="2" s="1"/>
  <c r="Y264" i="2"/>
  <c r="L264" i="2"/>
  <c r="M264" i="2" s="1"/>
  <c r="I264" i="2"/>
  <c r="N264" i="2" s="1"/>
  <c r="Y263" i="2"/>
  <c r="L263" i="2"/>
  <c r="M263" i="2" s="1"/>
  <c r="I263" i="2"/>
  <c r="N263" i="2" s="1"/>
  <c r="AD262" i="2"/>
  <c r="AC262" i="2"/>
  <c r="Y262" i="2"/>
  <c r="L262" i="2"/>
  <c r="M262" i="2" s="1"/>
  <c r="I262" i="2"/>
  <c r="N262" i="2" s="1"/>
  <c r="AD261" i="2"/>
  <c r="AC261" i="2"/>
  <c r="Y261" i="2"/>
  <c r="L261" i="2"/>
  <c r="M261" i="2" s="1"/>
  <c r="I261" i="2"/>
  <c r="N261" i="2" s="1"/>
  <c r="Y260" i="2"/>
  <c r="L260" i="2"/>
  <c r="M260" i="2" s="1"/>
  <c r="I260" i="2"/>
  <c r="N260" i="2" s="1"/>
  <c r="Y259" i="2"/>
  <c r="L259" i="2"/>
  <c r="M259" i="2" s="1"/>
  <c r="I259" i="2"/>
  <c r="N259" i="2" s="1"/>
  <c r="Y258" i="2"/>
  <c r="L258" i="2"/>
  <c r="M258" i="2" s="1"/>
  <c r="I258" i="2"/>
  <c r="N258" i="2" s="1"/>
  <c r="Y257" i="2"/>
  <c r="L257" i="2"/>
  <c r="M257" i="2" s="1"/>
  <c r="I257" i="2"/>
  <c r="N257" i="2" s="1"/>
  <c r="Y256" i="2"/>
  <c r="L256" i="2"/>
  <c r="M256" i="2" s="1"/>
  <c r="I256" i="2"/>
  <c r="N256" i="2" s="1"/>
  <c r="Y255" i="2"/>
  <c r="L255" i="2"/>
  <c r="M255" i="2" s="1"/>
  <c r="I255" i="2"/>
  <c r="N255" i="2" s="1"/>
  <c r="Y254" i="2"/>
  <c r="L254" i="2"/>
  <c r="M254" i="2" s="1"/>
  <c r="I254" i="2"/>
  <c r="N254" i="2" s="1"/>
  <c r="Y253" i="2"/>
  <c r="L253" i="2"/>
  <c r="M253" i="2" s="1"/>
  <c r="I253" i="2"/>
  <c r="N253" i="2" s="1"/>
  <c r="Y252" i="2"/>
  <c r="L252" i="2"/>
  <c r="M252" i="2" s="1"/>
  <c r="I252" i="2"/>
  <c r="N252" i="2" s="1"/>
  <c r="Y251" i="2"/>
  <c r="L251" i="2"/>
  <c r="M251" i="2" s="1"/>
  <c r="I251" i="2"/>
  <c r="N251" i="2" s="1"/>
  <c r="Y250" i="2"/>
  <c r="L250" i="2"/>
  <c r="M250" i="2" s="1"/>
  <c r="I250" i="2"/>
  <c r="N250" i="2" s="1"/>
  <c r="Y249" i="2"/>
  <c r="L249" i="2"/>
  <c r="M249" i="2" s="1"/>
  <c r="I249" i="2"/>
  <c r="N249" i="2" s="1"/>
  <c r="Y248" i="2"/>
  <c r="L248" i="2"/>
  <c r="M248" i="2" s="1"/>
  <c r="I248" i="2"/>
  <c r="N248" i="2" s="1"/>
</calcChain>
</file>

<file path=xl/sharedStrings.xml><?xml version="1.0" encoding="utf-8"?>
<sst xmlns="http://schemas.openxmlformats.org/spreadsheetml/2006/main" count="2765" uniqueCount="424">
  <si>
    <t>Make</t>
  </si>
  <si>
    <t>Model</t>
  </si>
  <si>
    <t>Year</t>
  </si>
  <si>
    <t>VehicleType</t>
  </si>
  <si>
    <t>Drivetrain</t>
  </si>
  <si>
    <t>Battery_kWh (AFDC)</t>
  </si>
  <si>
    <t>Range_min (mi)</t>
  </si>
  <si>
    <t>Range_max (mi)</t>
  </si>
  <si>
    <t>Range_mid (mi)</t>
  </si>
  <si>
    <t>MPGe_min</t>
  </si>
  <si>
    <t>MPGe_max</t>
  </si>
  <si>
    <t>MPGe_mid</t>
  </si>
  <si>
    <t>Efficiency (mi/kWh) = MPGe/33.7</t>
  </si>
  <si>
    <t>Range_per_kWh (Range_mid/Batt_kWh)</t>
  </si>
  <si>
    <t>Voltage_Architecture (400/800/900V class)</t>
  </si>
  <si>
    <t>Architecture_Confidence</t>
  </si>
  <si>
    <t>Architecture_Source_URL</t>
  </si>
  <si>
    <t>ChargeRate (L2/DC kW)</t>
  </si>
  <si>
    <t>ChargeSpeed (mi/hr L1/L2/DC)</t>
  </si>
  <si>
    <t>Battery_math_notes</t>
  </si>
  <si>
    <t>Ns (series)</t>
  </si>
  <si>
    <t>Np (parallel)</t>
  </si>
  <si>
    <t>Modules</t>
  </si>
  <si>
    <t>Cells_per_module</t>
  </si>
  <si>
    <t>Total_cells (Ns*Np)</t>
  </si>
  <si>
    <t>Cell_V_nom</t>
  </si>
  <si>
    <t>Cell_V_max</t>
  </si>
  <si>
    <t>Cell_V_min</t>
  </si>
  <si>
    <t>Pack_V_nom (Ns*Cell_V_nom)</t>
  </si>
  <si>
    <t>Pack_V_full (Ns*Cell_V_max)</t>
  </si>
  <si>
    <t>Pack_V_empty (Ns*Cell_V_min)</t>
  </si>
  <si>
    <t>BatteryMath_Source_URL</t>
  </si>
  <si>
    <t>Audi</t>
  </si>
  <si>
    <t>e-tron GT/RS e- tron GT</t>
  </si>
  <si>
    <t>Sedan/Wagon</t>
  </si>
  <si>
    <t>AWD</t>
  </si>
  <si>
    <t>800V class</t>
  </si>
  <si>
    <t>Confirmed</t>
  </si>
  <si>
    <t>https://media.audiusa.com/releases/459</t>
  </si>
  <si>
    <t>9.6/270</t>
  </si>
  <si>
    <t>3/23/292</t>
  </si>
  <si>
    <t>e-tron quattro/S</t>
  </si>
  <si>
    <t>SUV</t>
  </si>
  <si>
    <t>400V class</t>
  </si>
  <si>
    <t>Assumed</t>
  </si>
  <si>
    <t>9.6/150</t>
  </si>
  <si>
    <t>3/22/278</t>
  </si>
  <si>
    <t>e-tron Sportback/S Sportback</t>
  </si>
  <si>
    <t>3/22/274</t>
  </si>
  <si>
    <t>Q4 e-tron</t>
  </si>
  <si>
    <t>RWD</t>
  </si>
  <si>
    <t>11/125</t>
  </si>
  <si>
    <t>3/31/282</t>
  </si>
  <si>
    <t>Q4 e-tron quattro</t>
  </si>
  <si>
    <t>Q4 e-tron Sportback</t>
  </si>
  <si>
    <t>BMW</t>
  </si>
  <si>
    <t>i4 eDrive35/40 Gran Coupe</t>
  </si>
  <si>
    <t>11/195</t>
  </si>
  <si>
    <t>4/33/463</t>
  </si>
  <si>
    <t>i4 M50 Gran Coupe</t>
  </si>
  <si>
    <t>11/196</t>
  </si>
  <si>
    <t>i7 xDrive60 Sedan</t>
  </si>
  <si>
    <t>-/-</t>
  </si>
  <si>
    <t>-/-/-</t>
  </si>
  <si>
    <t>iX M</t>
  </si>
  <si>
    <t>3/28/393</t>
  </si>
  <si>
    <t>iX xDrive</t>
  </si>
  <si>
    <t>Cadillac</t>
  </si>
  <si>
    <t>Lyric</t>
  </si>
  <si>
    <t>11.5- 19.2/190</t>
  </si>
  <si>
    <t>4/29/401</t>
  </si>
  <si>
    <t>Lyric AWD</t>
  </si>
  <si>
    <t>Chevrolet</t>
  </si>
  <si>
    <t>Bolt EUV</t>
  </si>
  <si>
    <t>FWD</t>
  </si>
  <si>
    <t>11.5/50</t>
  </si>
  <si>
    <t>4/39/136</t>
  </si>
  <si>
    <t>3P96S (packs of 3 in parallel, 96 groups in series)</t>
  </si>
  <si>
    <t>https://allev.info/2023/12/chevy-bolt-ev-battery-disassembly/</t>
  </si>
  <si>
    <t>Bolt EV</t>
  </si>
  <si>
    <t>4/41/142</t>
  </si>
  <si>
    <t>Fisker Automotive</t>
  </si>
  <si>
    <t>Ocean Extreme, One</t>
  </si>
  <si>
    <t>Part-Time 4WD</t>
  </si>
  <si>
    <t>Ford</t>
  </si>
  <si>
    <t>F150 Lightning 4WD</t>
  </si>
  <si>
    <t>Pickup</t>
  </si>
  <si>
    <t>11.6- 19.6/150</t>
  </si>
  <si>
    <t>2/24- 40/249</t>
  </si>
  <si>
    <t>F150 Lightning 4WD Plat/Ext. Range</t>
  </si>
  <si>
    <t>Mustang Mach-E AWD</t>
  </si>
  <si>
    <t>11/115- 150</t>
  </si>
  <si>
    <t>3/30/331</t>
  </si>
  <si>
    <t>Mustang Mach-E AWD CAL RT 1/EXT</t>
  </si>
  <si>
    <t>Mustang Mach-E GT</t>
  </si>
  <si>
    <t>Mustang Mach-E RWD Extended</t>
  </si>
  <si>
    <t>Mustang Mach-E RWD (incl. LFP)</t>
  </si>
  <si>
    <t>Genesis</t>
  </si>
  <si>
    <t>Electrified G</t>
  </si>
  <si>
    <t>GV60 Advance</t>
  </si>
  <si>
    <t>https://www.prnewswire.com/news-releases/hyundai-motor-group-to-lead-charge-into-electric-era-with-dedicated-ev-platform-e-gmp-301183314.html; https://newsroom.genesis.com/genesis-premieres-the-gv60-a-luxury-ev-that-connects-a-vehicle-to-a-driver/</t>
  </si>
  <si>
    <t>GV60 Performance</t>
  </si>
  <si>
    <t>Hyundai</t>
  </si>
  <si>
    <t>Ioniq 6 Long range AWD</t>
  </si>
  <si>
    <t>Ioniq 6 Long range RWD</t>
  </si>
  <si>
    <t>Ioniq 6 Standard range RWD</t>
  </si>
  <si>
    <t>Kona Electric</t>
  </si>
  <si>
    <t>7.2/75</t>
  </si>
  <si>
    <t>4/26/214</t>
  </si>
  <si>
    <t>Jaguar</t>
  </si>
  <si>
    <t>I-PACE EV</t>
  </si>
  <si>
    <t>4WD</t>
  </si>
  <si>
    <t>7/100</t>
  </si>
  <si>
    <t>3/16/180</t>
  </si>
  <si>
    <t>Kia</t>
  </si>
  <si>
    <t>EV6 AWD GT</t>
  </si>
  <si>
    <t>11/200</t>
  </si>
  <si>
    <t>4/36/527</t>
  </si>
  <si>
    <t>192s2p (384 cells); nominal 697V; voltage range 806–480V</t>
  </si>
  <si>
    <t>https://www.batterydesign.net/2022-kia-ev6/</t>
  </si>
  <si>
    <t>EV6 Long Range AWD</t>
  </si>
  <si>
    <t>4/35/527</t>
  </si>
  <si>
    <t>EV6 Standard/Long Range RWD</t>
  </si>
  <si>
    <t>Niro Electric</t>
  </si>
  <si>
    <t>4/24/199</t>
  </si>
  <si>
    <t>Lexus</t>
  </si>
  <si>
    <t>RZ 450e AWD (18"/20" Wheels)</t>
  </si>
  <si>
    <t>6.6/100- 150</t>
  </si>
  <si>
    <t>4/23/353</t>
  </si>
  <si>
    <t>Lordstown</t>
  </si>
  <si>
    <t>Endurance</t>
  </si>
  <si>
    <t>Lucid</t>
  </si>
  <si>
    <t>Air G Touring XR AWD</t>
  </si>
  <si>
    <t>900V class</t>
  </si>
  <si>
    <t>https://www.batterydesign.net/lucid-motors/; https://electrek.co/2024/03/27/worlds-first-mass-produced-900v-ev-drive-system-rolls-out/</t>
  </si>
  <si>
    <t>19/300</t>
  </si>
  <si>
    <t>4/69/876</t>
  </si>
  <si>
    <t>Dream/GT pack: 22 modules, 6,600 cylindrical cells; 220s30p (nominal ~799V, max 924V, min 550V)</t>
  </si>
  <si>
    <t>https://www.batterydesign.net/lucid-motors/; https://insideevs.com/news/544455/lucid-air-118kwh-battery-112kwh/</t>
  </si>
  <si>
    <t>Air GT P AWD</t>
  </si>
  <si>
    <t>Air Pure AWD</t>
  </si>
  <si>
    <t>Air Touring AWD</t>
  </si>
  <si>
    <t>Mazda</t>
  </si>
  <si>
    <t>MX-</t>
  </si>
  <si>
    <t>Mercedes-Benz</t>
  </si>
  <si>
    <t>EQS 450 4MATIC</t>
  </si>
  <si>
    <t>9.6/200</t>
  </si>
  <si>
    <t>3/27/456</t>
  </si>
  <si>
    <t>EQS 450 4MATIC (SUV)</t>
  </si>
  <si>
    <t>EQS 450+ (SUV)</t>
  </si>
  <si>
    <t>EQS 580 4MATIC (SUV)</t>
  </si>
  <si>
    <t>Mini</t>
  </si>
  <si>
    <t>Cooper SE Hardtop 2 door</t>
  </si>
  <si>
    <t>7.4/-</t>
  </si>
  <si>
    <t>4/24/128</t>
  </si>
  <si>
    <t>Nissan</t>
  </si>
  <si>
    <t>ARIYA ENGAGE e- 4ORCE 63kWh</t>
  </si>
  <si>
    <t>7.2/130</t>
  </si>
  <si>
    <t>4/22/312</t>
  </si>
  <si>
    <t>ARIYA ENGAGE FWD 63kWh</t>
  </si>
  <si>
    <t>ARIYA ENG+/EVO+/PLAT+ e-4ORCE 87kWh</t>
  </si>
  <si>
    <t>ARIYA FWD 87kWh</t>
  </si>
  <si>
    <t>LEAF</t>
  </si>
  <si>
    <t>6.6/70</t>
  </si>
  <si>
    <t>4/22/189</t>
  </si>
  <si>
    <t>LEAF SV</t>
  </si>
  <si>
    <t>Polestar</t>
  </si>
  <si>
    <t>11/150</t>
  </si>
  <si>
    <t>3/30/328</t>
  </si>
  <si>
    <t>Polestar 2 Dual Motor</t>
  </si>
  <si>
    <t>Porsche</t>
  </si>
  <si>
    <t>Taycan AWD</t>
  </si>
  <si>
    <t>https://newsroom.porsche.com/en/press-kits/the-new-porsche-macan/Batterie-und-Laden.html; https://newsroom.porsche.com/en_US/products/taycan/battery-18557.html</t>
  </si>
  <si>
    <t>11/270</t>
  </si>
  <si>
    <t>2/23/442</t>
  </si>
  <si>
    <t>Performance Battery Plus: 33 modules × 12 pouch cells = 396 cells; 198s2p</t>
  </si>
  <si>
    <t>https://newsroom.porsche.com/en_US/products/taycan/battery-18557.html; https://www.qnovo.com/blogs/132-why-does-the-porsche-taycan-use-800-v-battery-packs</t>
  </si>
  <si>
    <t>Taycan Cross Turismo</t>
  </si>
  <si>
    <t>Taycan GTS Sport Turismo</t>
  </si>
  <si>
    <t>Taycan Perf Battery/Battery Plus</t>
  </si>
  <si>
    <t>Rivian</t>
  </si>
  <si>
    <t>R1S</t>
  </si>
  <si>
    <t>11.5/209</t>
  </si>
  <si>
    <t>2/24/349</t>
  </si>
  <si>
    <t>R1S Dual Motor</t>
  </si>
  <si>
    <t>R1T</t>
  </si>
  <si>
    <t>11.5/210</t>
  </si>
  <si>
    <t>2/24/344</t>
  </si>
  <si>
    <t>R1T Dual Motor</t>
  </si>
  <si>
    <t>Subaru</t>
  </si>
  <si>
    <t>Solterra AWD</t>
  </si>
  <si>
    <t>Tesla</t>
  </si>
  <si>
    <t>Model 3 AWD</t>
  </si>
  <si>
    <t>11.5/250</t>
  </si>
  <si>
    <t>4/41/712</t>
  </si>
  <si>
    <t>Model 3 RWD</t>
  </si>
  <si>
    <t>-/250</t>
  </si>
  <si>
    <t>Model S</t>
  </si>
  <si>
    <t>4/38/653</t>
  </si>
  <si>
    <t>Model X</t>
  </si>
  <si>
    <t>3/33/570</t>
  </si>
  <si>
    <t>Model Y AWD</t>
  </si>
  <si>
    <t>https://ev-database.org/car/1619/Tesla-Model-Y-Long-Range-AWD</t>
  </si>
  <si>
    <t>EV-Database example: 96s46p (4,416 cells), nominal 357V (varies by variant/market)</t>
  </si>
  <si>
    <t>Toyota</t>
  </si>
  <si>
    <t>bZ4X</t>
  </si>
  <si>
    <t>6.6/150</t>
  </si>
  <si>
    <t>bZ4X AWD</t>
  </si>
  <si>
    <t>VinFast</t>
  </si>
  <si>
    <t>VF 8 Eco/Plus</t>
  </si>
  <si>
    <t>Volkswagen</t>
  </si>
  <si>
    <t>ID.4 AWD Pro/Pro S</t>
  </si>
  <si>
    <t>4/34/306</t>
  </si>
  <si>
    <t>MEB pack: 12 modules; 96s3p = 288 cells; nominal 350.4V; voltage range 403.2–240V</t>
  </si>
  <si>
    <t>https://www.batterydesign.net/vw-id-4-82kwh-battery/</t>
  </si>
  <si>
    <t>ID.4 S/Pro/Pro S</t>
  </si>
  <si>
    <t>Volvo</t>
  </si>
  <si>
    <t>C40 Recharge Twin</t>
  </si>
  <si>
    <t>11/149</t>
  </si>
  <si>
    <t>3/28/310</t>
  </si>
  <si>
    <t>XC40 Recharge Twin</t>
  </si>
  <si>
    <t>3/28/303</t>
  </si>
  <si>
    <t>Acura</t>
  </si>
  <si>
    <t>ZDX AWD</t>
  </si>
  <si>
    <t>11/190</t>
  </si>
  <si>
    <t>3/28/428</t>
  </si>
  <si>
    <t>ZDX RWD</t>
  </si>
  <si>
    <t>e-tron GT/RS e-tron GT</t>
  </si>
  <si>
    <t>Q4 40 e-tron</t>
  </si>
  <si>
    <t>Q4 50 e-tron quattro</t>
  </si>
  <si>
    <t>Q4 55 e-tron quattro</t>
  </si>
  <si>
    <t>Q8 e-tron quattro</t>
  </si>
  <si>
    <t>Q8 Sportback e-tron quattro</t>
  </si>
  <si>
    <t>9.6- 19.2/170</t>
  </si>
  <si>
    <t>3/44/311</t>
  </si>
  <si>
    <t>Q8 Sportback e-tron ultra quattro</t>
  </si>
  <si>
    <t>SQ8 e-tron/Sportback e-tron</t>
  </si>
  <si>
    <t>i4 eDrive35 Gran Coupe</t>
  </si>
  <si>
    <t>i4 eDrive40 Gran Coupe</t>
  </si>
  <si>
    <t>i4 xDrive40 Gran Coupe</t>
  </si>
  <si>
    <t>i5 eDrive40 Sedan</t>
  </si>
  <si>
    <t>i5 M60 xDrive Sedan</t>
  </si>
  <si>
    <t>i7 eDrive50 Sedan</t>
  </si>
  <si>
    <t>4/33/412</t>
  </si>
  <si>
    <t>i7 M70 xDrive Sedan</t>
  </si>
  <si>
    <t>Bugatti Rimac</t>
  </si>
  <si>
    <t>Nevera</t>
  </si>
  <si>
    <t>Blazer EV AWD</t>
  </si>
  <si>
    <t>11.5/150- 190</t>
  </si>
  <si>
    <t>3/33/342</t>
  </si>
  <si>
    <t>Blazer EV RWD</t>
  </si>
  <si>
    <t>Equinox EV AWD</t>
  </si>
  <si>
    <t>Equinox EV FWD</t>
  </si>
  <si>
    <t>Silverado EV</t>
  </si>
  <si>
    <t>Dodge</t>
  </si>
  <si>
    <t>Charger 2-Dr Daytona</t>
  </si>
  <si>
    <t>Fiat</t>
  </si>
  <si>
    <t>500e</t>
  </si>
  <si>
    <t>Ocean Sport</t>
  </si>
  <si>
    <t>Mustang Mach-E AWD Extended</t>
  </si>
  <si>
    <t>Mustang Mach-E GT/Rally</t>
  </si>
  <si>
    <t>Mustang Mach-E RWD</t>
  </si>
  <si>
    <t>11/230</t>
  </si>
  <si>
    <t>3/29/497</t>
  </si>
  <si>
    <t>3/32/530</t>
  </si>
  <si>
    <t>GV60 Advanced/Performance</t>
  </si>
  <si>
    <t>GV60 Standard</t>
  </si>
  <si>
    <t>3/29/491</t>
  </si>
  <si>
    <t>GMC</t>
  </si>
  <si>
    <t>Hummer EV Pickup</t>
  </si>
  <si>
    <t>Hummer EV SUV</t>
  </si>
  <si>
    <t>Honda</t>
  </si>
  <si>
    <t>Prologue AWD Elite/Touring</t>
  </si>
  <si>
    <t>Prologue FWD</t>
  </si>
  <si>
    <t>Ioniq 5 Long range AWD</t>
  </si>
  <si>
    <t>11/199</t>
  </si>
  <si>
    <t>4/35/503</t>
  </si>
  <si>
    <t>Ioniq 5 Long range RWD</t>
  </si>
  <si>
    <t>Ioniq 5 Standard range RWD</t>
  </si>
  <si>
    <t>11/100</t>
  </si>
  <si>
    <t>4/25/208</t>
  </si>
  <si>
    <t>Jeep</t>
  </si>
  <si>
    <t>Wagoneer S AWD</t>
  </si>
  <si>
    <t>EV6 Long Range RWD</t>
  </si>
  <si>
    <t>EV6 Standard Range RWD</t>
  </si>
  <si>
    <t>EV9 Long Range AWD</t>
  </si>
  <si>
    <t>EV9 Long Range RWD</t>
  </si>
  <si>
    <t>EV9 Standard Range RWD</t>
  </si>
  <si>
    <t>RZ 300e</t>
  </si>
  <si>
    <t>RZ 450e</t>
  </si>
  <si>
    <t>Air Pure RWD</t>
  </si>
  <si>
    <t>Air Sapphire AWD</t>
  </si>
  <si>
    <t>Maserati</t>
  </si>
  <si>
    <t>Grancabrio/Granturismo Folgore</t>
  </si>
  <si>
    <t>AMG EQE 4MATIC+</t>
  </si>
  <si>
    <t>9.6/170</t>
  </si>
  <si>
    <t>3/22/456</t>
  </si>
  <si>
    <t>AMG EQE 4MATIC+ (SUV)</t>
  </si>
  <si>
    <t>AMG EQS 4MATIC+</t>
  </si>
  <si>
    <t>4/29/489</t>
  </si>
  <si>
    <t>EQB 250+</t>
  </si>
  <si>
    <t>9.6/100</t>
  </si>
  <si>
    <t>3/27/228</t>
  </si>
  <si>
    <t>EQB 300 4MATIC</t>
  </si>
  <si>
    <t>EQB 350 4MATIC</t>
  </si>
  <si>
    <t>EQE 350+</t>
  </si>
  <si>
    <t>EQE 350 4MATIC</t>
  </si>
  <si>
    <t>EQE 350 4MATIC (SUV)</t>
  </si>
  <si>
    <t>9.6/171</t>
  </si>
  <si>
    <t>3/23/389</t>
  </si>
  <si>
    <t>EQE 350+ (SUV)</t>
  </si>
  <si>
    <t>EQE 500 4MATIC</t>
  </si>
  <si>
    <t>EQE 500 4MATIC (SUV)</t>
  </si>
  <si>
    <t>EQS 450+</t>
  </si>
  <si>
    <t>3/27/489</t>
  </si>
  <si>
    <t>EQS 450/580 4MATIC (SUV)</t>
  </si>
  <si>
    <t>3/22/366</t>
  </si>
  <si>
    <t>EQS 580 4MATIC</t>
  </si>
  <si>
    <t>EQS 680 4MATIC Maybach (SUV)</t>
  </si>
  <si>
    <t>4/28/128</t>
  </si>
  <si>
    <t>ARIYA ENGAGE e-4ORCE 63kWh</t>
  </si>
  <si>
    <t>ARIYA ENGAGE+/EVOLVE+ e- 4ORCE 87kWh</t>
  </si>
  <si>
    <t>ARIYA EVOLVE+/EMPOWER+/VENTURE+ FWD 87kWh</t>
  </si>
  <si>
    <t>ARIYA PLATINUM+ e-4ORCE 87kWh</t>
  </si>
  <si>
    <t>Polestar 2 Dual Motor Performance Pack</t>
  </si>
  <si>
    <t>Polestar 2 Single Motor</t>
  </si>
  <si>
    <t>Macan Electric</t>
  </si>
  <si>
    <t>3/30/583</t>
  </si>
  <si>
    <t>Taycan 4S Cross Turismo</t>
  </si>
  <si>
    <t>Taycan 4S Perf Battery/Plus</t>
  </si>
  <si>
    <t>Taycan Perf Battery/Plus</t>
  </si>
  <si>
    <t>Taycan Turbo/Turbo S</t>
  </si>
  <si>
    <t>R1S All-Terrain Quad Large (20in)</t>
  </si>
  <si>
    <t>R1S Dual</t>
  </si>
  <si>
    <t>R1S Dual Max</t>
  </si>
  <si>
    <t>R1S Quad Large</t>
  </si>
  <si>
    <t>R1T Dual</t>
  </si>
  <si>
    <t>R1T Dual Max</t>
  </si>
  <si>
    <t>R1T Quad Large</t>
  </si>
  <si>
    <t>Rolls-Royce</t>
  </si>
  <si>
    <t>Black Badge Spectre</t>
  </si>
  <si>
    <t>Spectre</t>
  </si>
  <si>
    <t>Solterra</t>
  </si>
  <si>
    <t>Model 3 Long Range AWD</t>
  </si>
  <si>
    <t>Model 3 Long Range AWD-E</t>
  </si>
  <si>
    <t>Model S Plaid</t>
  </si>
  <si>
    <t>Model Y Long Range AWD-I</t>
  </si>
  <si>
    <t>Model Y Performance/Long Range AWD</t>
  </si>
  <si>
    <t>Model Y RWD</t>
  </si>
  <si>
    <t>VF 9 Eco/Plus</t>
  </si>
  <si>
    <t>11/170</t>
  </si>
  <si>
    <t>4/34/416</t>
  </si>
  <si>
    <t>ID.4/S/Pro S</t>
  </si>
  <si>
    <t>C40/XC40 Recharge</t>
  </si>
  <si>
    <t>C40/XC40 Recharge Twin</t>
  </si>
  <si>
    <t>Q4 45 e-tron</t>
  </si>
  <si>
    <t>Q6 e-tron</t>
  </si>
  <si>
    <t>https://media.audiusa.com/releases/609</t>
  </si>
  <si>
    <t>Q6 e-tron quattro</t>
  </si>
  <si>
    <t>3/44/315</t>
  </si>
  <si>
    <t>S e-tron GT</t>
  </si>
  <si>
    <t>SQ6 e-tron</t>
  </si>
  <si>
    <t>SQ8 e-tron</t>
  </si>
  <si>
    <t>i5 xDrive40 Sedan</t>
  </si>
  <si>
    <t>4/34/356</t>
  </si>
  <si>
    <t>19/350</t>
  </si>
  <si>
    <t>2/36/523</t>
  </si>
  <si>
    <t>11/85</t>
  </si>
  <si>
    <t>4/38/234</t>
  </si>
  <si>
    <t>F150 Lightning 4WD Pro/ER1/Platinum</t>
  </si>
  <si>
    <t>F150 Lightning 4WD SR</t>
  </si>
  <si>
    <t>Electrified GV</t>
  </si>
  <si>
    <t>GV60 RWD</t>
  </si>
  <si>
    <t>2/28/356</t>
  </si>
  <si>
    <t>2/30/377</t>
  </si>
  <si>
    <t>Sierra EV</t>
  </si>
  <si>
    <t>Ioniq 5 AWD</t>
  </si>
  <si>
    <t>Ioniq 5 N</t>
  </si>
  <si>
    <t>Ioniq 5 RWD</t>
  </si>
  <si>
    <t>Ioniq 5 Standard Range</t>
  </si>
  <si>
    <t>Ioniq 6 AWD</t>
  </si>
  <si>
    <t>11/221</t>
  </si>
  <si>
    <t>4/34/554</t>
  </si>
  <si>
    <t>Ioniq 6 RWD</t>
  </si>
  <si>
    <t>Ioniq 6 Standard Range</t>
  </si>
  <si>
    <t>Kona Electric Standard Range</t>
  </si>
  <si>
    <t>3/27/399</t>
  </si>
  <si>
    <t>Grecale Folgore</t>
  </si>
  <si>
    <t>G 580 with EQ Technology</t>
  </si>
  <si>
    <t>Countryman SE ALL</t>
  </si>
  <si>
    <t>11/130</t>
  </si>
  <si>
    <t>4/34/397</t>
  </si>
  <si>
    <t>ARIYA e-4ORCE 63kWh</t>
  </si>
  <si>
    <t>ARIYA ENGAGE+/EVOLVE+/PLATINUM+ e-4ORCE 87kWh</t>
  </si>
  <si>
    <t>ARIYA EVOLVE+ FWD 87kWh</t>
  </si>
  <si>
    <t>ARIYA FWD 63kWh</t>
  </si>
  <si>
    <t>2 Dual Motor</t>
  </si>
  <si>
    <t>11/155- 205</t>
  </si>
  <si>
    <t>2 Single Motor</t>
  </si>
  <si>
    <t>3 Long Range Dual Motor</t>
  </si>
  <si>
    <t>11/250</t>
  </si>
  <si>
    <t>3/29/534</t>
  </si>
  <si>
    <t>3 Long Range Single Motor</t>
  </si>
  <si>
    <t>4 Long Range Dual Motor</t>
  </si>
  <si>
    <t>4 Long Range Single Motor</t>
  </si>
  <si>
    <t>Macan 4/4S/Turbo Electric</t>
  </si>
  <si>
    <t>Taycan 4/4S</t>
  </si>
  <si>
    <t>R1S Dual Large</t>
  </si>
  <si>
    <t>2/24/374</t>
  </si>
  <si>
    <t>R1S Dual Standard</t>
  </si>
  <si>
    <t>R1S Tri Max</t>
  </si>
  <si>
    <t>R1T Dual Large</t>
  </si>
  <si>
    <t>R1T Dual Standard</t>
  </si>
  <si>
    <t>R1T Tri Max</t>
  </si>
  <si>
    <t>ID. Buzz</t>
  </si>
  <si>
    <t>Van</t>
  </si>
  <si>
    <t>ID. Buzz 4Motion</t>
  </si>
  <si>
    <t>EC40/EX</t>
  </si>
  <si>
    <t>EC40/EX40 Twin</t>
  </si>
  <si>
    <t>EX30 Single Motor extended range</t>
  </si>
  <si>
    <t>Cybertruck AWD (EPA)</t>
  </si>
  <si>
    <t>https://en.wikipedia.org/wiki/Tesla_Cybertruck</t>
  </si>
  <si>
    <t>Structural pack w/ 4680 cells; public sources cite ~816V nominal and ~123 kWh max capacity, but series/parallel not disclosed</t>
  </si>
  <si>
    <t>https://en.wikipedia.org/wiki/Tesla_Cybertruck; https://www.caranddriver.com/tesla/cybertruck-2025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</si>
</sst>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23"/>
  <sheetViews>
    <sheetView tabSelected="1" workbookViewId="0">
      <pane ySplit="1" topLeftCell="A2" activePane="bottomLeft" state="frozen"/>
      <selection pane="bottomLeft" activeCell="J17" sqref="J17"/>
    </sheetView>
  </sheetViews>
  <sheetFormatPr baseColWidth="10" defaultColWidth="8.83203125" defaultRowHeight="15" x14ac:dyDescent="0.2"/>
  <cols>
    <col min="1" max="1" width="14" customWidth="1"/>
    <col min="2" max="2" width="36" customWidth="1"/>
    <col min="3" max="3" width="7" customWidth="1"/>
    <col min="4" max="4" width="14" customWidth="1"/>
    <col min="5" max="5" width="10" customWidth="1"/>
    <col min="6" max="6" width="14" customWidth="1"/>
    <col min="7" max="9" width="12" customWidth="1"/>
    <col min="10" max="12" width="10" customWidth="1"/>
    <col min="13" max="15" width="16" customWidth="1"/>
    <col min="16" max="16" width="12" customWidth="1"/>
    <col min="17" max="17" width="38" customWidth="1"/>
    <col min="18" max="18" width="18" customWidth="1"/>
    <col min="19" max="19" width="22" customWidth="1"/>
    <col min="20" max="20" width="45" customWidth="1"/>
    <col min="21" max="23" width="10" customWidth="1"/>
    <col min="24" max="25" width="14" customWidth="1"/>
    <col min="26" max="28" width="10" customWidth="1"/>
    <col min="29" max="31" width="16" customWidth="1"/>
    <col min="32" max="32" width="38" customWidth="1"/>
  </cols>
  <sheetData>
    <row r="1" spans="1:32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6" x14ac:dyDescent="0.2">
      <c r="A2" s="3" t="s">
        <v>32</v>
      </c>
      <c r="B2" s="2" t="s">
        <v>355</v>
      </c>
      <c r="C2" s="3">
        <v>2025</v>
      </c>
      <c r="D2" s="3" t="s">
        <v>42</v>
      </c>
      <c r="E2" s="3" t="s">
        <v>50</v>
      </c>
      <c r="F2" s="4">
        <v>81.599999999999994</v>
      </c>
      <c r="G2" s="5">
        <v>288</v>
      </c>
      <c r="H2" s="5">
        <v>288</v>
      </c>
      <c r="I2" s="5">
        <f>IF(AND(G2&lt;&gt;"",H2&lt;&gt;""),(G2+H2)/2,"")</f>
        <v>288</v>
      </c>
      <c r="J2" s="4">
        <v>115</v>
      </c>
      <c r="K2" s="4">
        <v>115</v>
      </c>
      <c r="L2" s="4">
        <f>IF(AND(J2&lt;&gt;"",K2&lt;&gt;""),(J2+K2)/2,"")</f>
        <v>115</v>
      </c>
      <c r="M2" s="6">
        <f>IF(L2&lt;&gt;"",L2/33.7,"")</f>
        <v>3.4124629080118694</v>
      </c>
      <c r="N2" s="6">
        <f>IF(AND(I2&lt;&gt;"",F2&lt;&gt;""),I2/F2,"")</f>
        <v>3.5294117647058827</v>
      </c>
      <c r="O2" s="2" t="s">
        <v>43</v>
      </c>
      <c r="P2" s="2" t="s">
        <v>44</v>
      </c>
      <c r="Q2" s="2"/>
      <c r="R2" s="3" t="s">
        <v>167</v>
      </c>
      <c r="S2" s="3" t="s">
        <v>52</v>
      </c>
      <c r="T2" s="2"/>
      <c r="U2" s="3"/>
      <c r="V2" s="3"/>
      <c r="W2" s="3"/>
      <c r="X2" s="3"/>
      <c r="Y2" s="3" t="str">
        <f>IF(AND(U2&lt;&gt;"",V2&lt;&gt;""),U2*V2,"")</f>
        <v/>
      </c>
      <c r="Z2" s="6"/>
      <c r="AA2" s="6"/>
      <c r="AB2" s="6"/>
      <c r="AC2" s="4"/>
      <c r="AD2" s="4"/>
      <c r="AE2" s="4"/>
      <c r="AF2" s="2"/>
    </row>
    <row r="3" spans="1:32" ht="16" x14ac:dyDescent="0.2">
      <c r="A3" s="3" t="s">
        <v>32</v>
      </c>
      <c r="B3" s="2" t="s">
        <v>230</v>
      </c>
      <c r="C3" s="3">
        <v>2025</v>
      </c>
      <c r="D3" s="3" t="s">
        <v>42</v>
      </c>
      <c r="E3" s="3" t="s">
        <v>35</v>
      </c>
      <c r="F3" s="4">
        <v>81.599999999999994</v>
      </c>
      <c r="G3" s="5">
        <v>258</v>
      </c>
      <c r="H3" s="5">
        <v>258</v>
      </c>
      <c r="I3" s="5">
        <f>IF(AND(G3&lt;&gt;"",H3&lt;&gt;""),(G3+H3)/2,"")</f>
        <v>258</v>
      </c>
      <c r="J3" s="4">
        <v>100</v>
      </c>
      <c r="K3" s="4">
        <v>100</v>
      </c>
      <c r="L3" s="4">
        <f>IF(AND(J3&lt;&gt;"",K3&lt;&gt;""),(J3+K3)/2,"")</f>
        <v>100</v>
      </c>
      <c r="M3" s="6">
        <f>IF(L3&lt;&gt;"",L3/33.7,"")</f>
        <v>2.9673590504451037</v>
      </c>
      <c r="N3" s="6">
        <f>IF(AND(I3&lt;&gt;"",F3&lt;&gt;""),I3/F3,"")</f>
        <v>3.1617647058823533</v>
      </c>
      <c r="O3" s="2" t="s">
        <v>43</v>
      </c>
      <c r="P3" s="2" t="s">
        <v>44</v>
      </c>
      <c r="Q3" s="2"/>
      <c r="R3" s="3" t="s">
        <v>167</v>
      </c>
      <c r="S3" s="3" t="s">
        <v>52</v>
      </c>
      <c r="T3" s="2"/>
      <c r="U3" s="3"/>
      <c r="V3" s="3"/>
      <c r="W3" s="3"/>
      <c r="X3" s="3"/>
      <c r="Y3" s="3" t="str">
        <f>IF(AND(U3&lt;&gt;"",V3&lt;&gt;""),U3*V3,"")</f>
        <v/>
      </c>
      <c r="Z3" s="6"/>
      <c r="AA3" s="6"/>
      <c r="AB3" s="6"/>
      <c r="AC3" s="4"/>
      <c r="AD3" s="4"/>
      <c r="AE3" s="4"/>
      <c r="AF3" s="2"/>
    </row>
    <row r="4" spans="1:32" ht="16" x14ac:dyDescent="0.2">
      <c r="A4" s="3" t="s">
        <v>32</v>
      </c>
      <c r="B4" s="2" t="s">
        <v>356</v>
      </c>
      <c r="C4" s="3">
        <v>2025</v>
      </c>
      <c r="D4" s="3" t="s">
        <v>42</v>
      </c>
      <c r="E4" s="3" t="s">
        <v>50</v>
      </c>
      <c r="F4" s="4">
        <v>100.2</v>
      </c>
      <c r="G4" s="5">
        <v>298</v>
      </c>
      <c r="H4" s="5">
        <v>321</v>
      </c>
      <c r="I4" s="5">
        <f>IF(AND(G4&lt;&gt;"",H4&lt;&gt;""),(G4+H4)/2,"")</f>
        <v>309.5</v>
      </c>
      <c r="J4" s="4">
        <v>96</v>
      </c>
      <c r="K4" s="4">
        <v>104</v>
      </c>
      <c r="L4" s="4">
        <f>IF(AND(J4&lt;&gt;"",K4&lt;&gt;""),(J4+K4)/2,"")</f>
        <v>100</v>
      </c>
      <c r="M4" s="6">
        <f>IF(L4&lt;&gt;"",L4/33.7,"")</f>
        <v>2.9673590504451037</v>
      </c>
      <c r="N4" s="6">
        <f>IF(AND(I4&lt;&gt;"",F4&lt;&gt;""),I4/F4,"")</f>
        <v>3.088822355289421</v>
      </c>
      <c r="O4" s="2" t="s">
        <v>36</v>
      </c>
      <c r="P4" s="2" t="s">
        <v>37</v>
      </c>
      <c r="Q4" s="2" t="s">
        <v>357</v>
      </c>
      <c r="R4" s="3" t="s">
        <v>62</v>
      </c>
      <c r="S4" s="3" t="s">
        <v>63</v>
      </c>
      <c r="T4" s="2"/>
      <c r="U4" s="3"/>
      <c r="V4" s="3"/>
      <c r="W4" s="3"/>
      <c r="X4" s="3"/>
      <c r="Y4" s="3" t="str">
        <f>IF(AND(U4&lt;&gt;"",V4&lt;&gt;""),U4*V4,"")</f>
        <v/>
      </c>
      <c r="Z4" s="6"/>
      <c r="AA4" s="6"/>
      <c r="AB4" s="6"/>
      <c r="AC4" s="4"/>
      <c r="AD4" s="4"/>
      <c r="AE4" s="4"/>
      <c r="AF4" s="2"/>
    </row>
    <row r="5" spans="1:32" ht="16" x14ac:dyDescent="0.2">
      <c r="A5" s="3" t="s">
        <v>32</v>
      </c>
      <c r="B5" s="2" t="s">
        <v>358</v>
      </c>
      <c r="C5" s="3">
        <v>2025</v>
      </c>
      <c r="D5" s="3" t="s">
        <v>42</v>
      </c>
      <c r="E5" s="3" t="s">
        <v>35</v>
      </c>
      <c r="F5" s="4">
        <v>100</v>
      </c>
      <c r="G5" s="5">
        <v>295</v>
      </c>
      <c r="H5" s="5">
        <v>319</v>
      </c>
      <c r="I5" s="5">
        <f>IF(AND(G5&lt;&gt;"",H5&lt;&gt;""),(G5+H5)/2,"")</f>
        <v>307</v>
      </c>
      <c r="J5" s="4">
        <v>95</v>
      </c>
      <c r="K5" s="4">
        <v>103</v>
      </c>
      <c r="L5" s="4">
        <f>IF(AND(J5&lt;&gt;"",K5&lt;&gt;""),(J5+K5)/2,"")</f>
        <v>99</v>
      </c>
      <c r="M5" s="6">
        <f>IF(L5&lt;&gt;"",L5/33.7,"")</f>
        <v>2.9376854599406528</v>
      </c>
      <c r="N5" s="6">
        <f>IF(AND(I5&lt;&gt;"",F5&lt;&gt;""),I5/F5,"")</f>
        <v>3.07</v>
      </c>
      <c r="O5" s="2" t="s">
        <v>36</v>
      </c>
      <c r="P5" s="2" t="s">
        <v>37</v>
      </c>
      <c r="Q5" s="2" t="s">
        <v>357</v>
      </c>
      <c r="R5" s="3" t="s">
        <v>62</v>
      </c>
      <c r="S5" s="3" t="s">
        <v>63</v>
      </c>
      <c r="T5" s="2"/>
      <c r="U5" s="3"/>
      <c r="V5" s="3"/>
      <c r="W5" s="3"/>
      <c r="X5" s="3"/>
      <c r="Y5" s="3" t="str">
        <f>IF(AND(U5&lt;&gt;"",V5&lt;&gt;""),U5*V5,"")</f>
        <v/>
      </c>
      <c r="Z5" s="6"/>
      <c r="AA5" s="6"/>
      <c r="AB5" s="6"/>
      <c r="AC5" s="4"/>
      <c r="AD5" s="4"/>
      <c r="AE5" s="4"/>
      <c r="AF5" s="2"/>
    </row>
    <row r="6" spans="1:32" ht="16" x14ac:dyDescent="0.2">
      <c r="A6" s="3" t="s">
        <v>32</v>
      </c>
      <c r="B6" s="2" t="s">
        <v>231</v>
      </c>
      <c r="C6" s="3">
        <v>2025</v>
      </c>
      <c r="D6" s="3" t="s">
        <v>42</v>
      </c>
      <c r="E6" s="3" t="s">
        <v>35</v>
      </c>
      <c r="F6" s="4">
        <v>114.3</v>
      </c>
      <c r="G6" s="5">
        <v>254</v>
      </c>
      <c r="H6" s="5">
        <v>272</v>
      </c>
      <c r="I6" s="5">
        <f>IF(AND(G6&lt;&gt;"",H6&lt;&gt;""),(G6+H6)/2,"")</f>
        <v>263</v>
      </c>
      <c r="J6" s="4">
        <v>74</v>
      </c>
      <c r="K6" s="4">
        <v>78</v>
      </c>
      <c r="L6" s="4">
        <f>IF(AND(J6&lt;&gt;"",K6&lt;&gt;""),(J6+K6)/2,"")</f>
        <v>76</v>
      </c>
      <c r="M6" s="6">
        <f>IF(L6&lt;&gt;"",L6/33.7,"")</f>
        <v>2.2551928783382786</v>
      </c>
      <c r="N6" s="6">
        <f>IF(AND(I6&lt;&gt;"",F6&lt;&gt;""),I6/F6,"")</f>
        <v>2.3009623797025371</v>
      </c>
      <c r="O6" s="2" t="s">
        <v>43</v>
      </c>
      <c r="P6" s="2" t="s">
        <v>44</v>
      </c>
      <c r="Q6" s="2"/>
      <c r="R6" s="3" t="s">
        <v>233</v>
      </c>
      <c r="S6" s="3" t="s">
        <v>359</v>
      </c>
      <c r="T6" s="2"/>
      <c r="U6" s="3"/>
      <c r="V6" s="3"/>
      <c r="W6" s="3"/>
      <c r="X6" s="3"/>
      <c r="Y6" s="3" t="str">
        <f>IF(AND(U6&lt;&gt;"",V6&lt;&gt;""),U6*V6,"")</f>
        <v/>
      </c>
      <c r="Z6" s="6"/>
      <c r="AA6" s="6"/>
      <c r="AB6" s="6"/>
      <c r="AC6" s="4"/>
      <c r="AD6" s="4"/>
      <c r="AE6" s="4"/>
      <c r="AF6" s="2"/>
    </row>
    <row r="7" spans="1:32" ht="16" x14ac:dyDescent="0.2">
      <c r="A7" s="3" t="s">
        <v>32</v>
      </c>
      <c r="B7" s="2" t="s">
        <v>360</v>
      </c>
      <c r="C7" s="3">
        <v>2025</v>
      </c>
      <c r="D7" s="3" t="s">
        <v>34</v>
      </c>
      <c r="E7" s="3" t="s">
        <v>35</v>
      </c>
      <c r="F7" s="4">
        <v>105</v>
      </c>
      <c r="G7" s="5">
        <v>294</v>
      </c>
      <c r="H7" s="5">
        <v>300</v>
      </c>
      <c r="I7" s="5">
        <f>IF(AND(G7&lt;&gt;"",H7&lt;&gt;""),(G7+H7)/2,"")</f>
        <v>297</v>
      </c>
      <c r="J7" s="4">
        <v>88</v>
      </c>
      <c r="K7" s="4">
        <v>90</v>
      </c>
      <c r="L7" s="4">
        <f>IF(AND(J7&lt;&gt;"",K7&lt;&gt;""),(J7+K7)/2,"")</f>
        <v>89</v>
      </c>
      <c r="M7" s="6">
        <f>IF(L7&lt;&gt;"",L7/33.7,"")</f>
        <v>2.6409495548961424</v>
      </c>
      <c r="N7" s="6">
        <f>IF(AND(I7&lt;&gt;"",F7&lt;&gt;""),I7/F7,"")</f>
        <v>2.8285714285714287</v>
      </c>
      <c r="O7" s="2" t="s">
        <v>36</v>
      </c>
      <c r="P7" s="2" t="s">
        <v>37</v>
      </c>
      <c r="Q7" s="2" t="s">
        <v>38</v>
      </c>
      <c r="R7" s="3" t="s">
        <v>62</v>
      </c>
      <c r="S7" s="3" t="s">
        <v>63</v>
      </c>
      <c r="T7" s="2"/>
      <c r="U7" s="3"/>
      <c r="V7" s="3"/>
      <c r="W7" s="3"/>
      <c r="X7" s="3"/>
      <c r="Y7" s="3" t="str">
        <f>IF(AND(U7&lt;&gt;"",V7&lt;&gt;""),U7*V7,"")</f>
        <v/>
      </c>
      <c r="Z7" s="6"/>
      <c r="AA7" s="6"/>
      <c r="AB7" s="6"/>
      <c r="AC7" s="4"/>
      <c r="AD7" s="4"/>
      <c r="AE7" s="4"/>
      <c r="AF7" s="2"/>
    </row>
    <row r="8" spans="1:32" ht="16" x14ac:dyDescent="0.2">
      <c r="A8" s="3" t="s">
        <v>32</v>
      </c>
      <c r="B8" s="2" t="s">
        <v>361</v>
      </c>
      <c r="C8" s="3">
        <v>2025</v>
      </c>
      <c r="D8" s="3" t="s">
        <v>42</v>
      </c>
      <c r="E8" s="3" t="s">
        <v>35</v>
      </c>
      <c r="F8" s="4">
        <v>100</v>
      </c>
      <c r="G8" s="5">
        <v>275</v>
      </c>
      <c r="H8" s="5">
        <v>283</v>
      </c>
      <c r="I8" s="5">
        <f>IF(AND(G8&lt;&gt;"",H8&lt;&gt;""),(G8+H8)/2,"")</f>
        <v>279</v>
      </c>
      <c r="J8" s="4">
        <v>89</v>
      </c>
      <c r="K8" s="4">
        <v>91</v>
      </c>
      <c r="L8" s="4">
        <f>IF(AND(J8&lt;&gt;"",K8&lt;&gt;""),(J8+K8)/2,"")</f>
        <v>90</v>
      </c>
      <c r="M8" s="6">
        <f>IF(L8&lt;&gt;"",L8/33.7,"")</f>
        <v>2.6706231454005933</v>
      </c>
      <c r="N8" s="6">
        <f>IF(AND(I8&lt;&gt;"",F8&lt;&gt;""),I8/F8,"")</f>
        <v>2.79</v>
      </c>
      <c r="O8" s="2" t="s">
        <v>36</v>
      </c>
      <c r="P8" s="2" t="s">
        <v>37</v>
      </c>
      <c r="Q8" s="2" t="s">
        <v>357</v>
      </c>
      <c r="R8" s="3" t="s">
        <v>62</v>
      </c>
      <c r="S8" s="3" t="s">
        <v>63</v>
      </c>
      <c r="T8" s="2"/>
      <c r="U8" s="3"/>
      <c r="V8" s="3"/>
      <c r="W8" s="3"/>
      <c r="X8" s="3"/>
      <c r="Y8" s="3" t="str">
        <f>IF(AND(U8&lt;&gt;"",V8&lt;&gt;""),U8*V8,"")</f>
        <v/>
      </c>
      <c r="Z8" s="6"/>
      <c r="AA8" s="6"/>
      <c r="AB8" s="6"/>
      <c r="AC8" s="4"/>
      <c r="AD8" s="4"/>
      <c r="AE8" s="4"/>
      <c r="AF8" s="2"/>
    </row>
    <row r="9" spans="1:32" ht="16" x14ac:dyDescent="0.2">
      <c r="A9" s="3" t="s">
        <v>32</v>
      </c>
      <c r="B9" s="2" t="s">
        <v>362</v>
      </c>
      <c r="C9" s="3">
        <v>2025</v>
      </c>
      <c r="D9" s="3" t="s">
        <v>42</v>
      </c>
      <c r="E9" s="3" t="s">
        <v>35</v>
      </c>
      <c r="F9" s="4">
        <v>114.3</v>
      </c>
      <c r="G9" s="5">
        <v>208</v>
      </c>
      <c r="H9" s="5">
        <v>242</v>
      </c>
      <c r="I9" s="5">
        <f>IF(AND(G9&lt;&gt;"",H9&lt;&gt;""),(G9+H9)/2,"")</f>
        <v>225</v>
      </c>
      <c r="J9" s="4">
        <v>60</v>
      </c>
      <c r="K9" s="4">
        <v>70</v>
      </c>
      <c r="L9" s="4">
        <f>IF(AND(J9&lt;&gt;"",K9&lt;&gt;""),(J9+K9)/2,"")</f>
        <v>65</v>
      </c>
      <c r="M9" s="6">
        <f>IF(L9&lt;&gt;"",L9/33.7,"")</f>
        <v>1.9287833827893173</v>
      </c>
      <c r="N9" s="6">
        <f>IF(AND(I9&lt;&gt;"",F9&lt;&gt;""),I9/F9,"")</f>
        <v>1.9685039370078741</v>
      </c>
      <c r="O9" s="2" t="s">
        <v>43</v>
      </c>
      <c r="P9" s="2" t="s">
        <v>44</v>
      </c>
      <c r="Q9" s="2"/>
      <c r="R9" s="3" t="s">
        <v>62</v>
      </c>
      <c r="S9" s="3" t="s">
        <v>63</v>
      </c>
      <c r="T9" s="2"/>
      <c r="U9" s="3"/>
      <c r="V9" s="3"/>
      <c r="W9" s="3"/>
      <c r="X9" s="3"/>
      <c r="Y9" s="3" t="str">
        <f>IF(AND(U9&lt;&gt;"",V9&lt;&gt;""),U9*V9,"")</f>
        <v/>
      </c>
      <c r="Z9" s="6"/>
      <c r="AA9" s="6"/>
      <c r="AB9" s="6"/>
      <c r="AC9" s="4"/>
      <c r="AD9" s="4"/>
      <c r="AE9" s="4"/>
      <c r="AF9" s="2"/>
    </row>
    <row r="10" spans="1:32" ht="16" x14ac:dyDescent="0.2">
      <c r="A10" s="3" t="s">
        <v>55</v>
      </c>
      <c r="B10" s="2" t="s">
        <v>237</v>
      </c>
      <c r="C10" s="3">
        <v>2025</v>
      </c>
      <c r="D10" s="3" t="s">
        <v>34</v>
      </c>
      <c r="E10" s="3" t="s">
        <v>50</v>
      </c>
      <c r="F10" s="4">
        <v>84.2</v>
      </c>
      <c r="G10" s="5">
        <v>244</v>
      </c>
      <c r="H10" s="5">
        <v>266</v>
      </c>
      <c r="I10" s="5">
        <f>IF(AND(G10&lt;&gt;"",H10&lt;&gt;""),(G10+H10)/2,"")</f>
        <v>255</v>
      </c>
      <c r="J10" s="4">
        <v>106</v>
      </c>
      <c r="K10" s="4">
        <v>118</v>
      </c>
      <c r="L10" s="4">
        <f>IF(AND(J10&lt;&gt;"",K10&lt;&gt;""),(J10+K10)/2,"")</f>
        <v>112</v>
      </c>
      <c r="M10" s="6">
        <f>IF(L10&lt;&gt;"",L10/33.7,"")</f>
        <v>3.3234421364985161</v>
      </c>
      <c r="N10" s="6">
        <f>IF(AND(I10&lt;&gt;"",F10&lt;&gt;""),I10/F10,"")</f>
        <v>3.0285035629453683</v>
      </c>
      <c r="O10" s="2" t="s">
        <v>43</v>
      </c>
      <c r="P10" s="2" t="s">
        <v>44</v>
      </c>
      <c r="Q10" s="2"/>
      <c r="R10" s="3" t="s">
        <v>57</v>
      </c>
      <c r="S10" s="3" t="s">
        <v>58</v>
      </c>
      <c r="T10" s="2"/>
      <c r="U10" s="3"/>
      <c r="V10" s="3"/>
      <c r="W10" s="3"/>
      <c r="X10" s="3"/>
      <c r="Y10" s="3" t="str">
        <f>IF(AND(U10&lt;&gt;"",V10&lt;&gt;""),U10*V10,"")</f>
        <v/>
      </c>
      <c r="Z10" s="6"/>
      <c r="AA10" s="6"/>
      <c r="AB10" s="6"/>
      <c r="AC10" s="4"/>
      <c r="AD10" s="4"/>
      <c r="AE10" s="4"/>
      <c r="AF10" s="2"/>
    </row>
    <row r="11" spans="1:32" ht="16" x14ac:dyDescent="0.2">
      <c r="A11" s="3" t="s">
        <v>55</v>
      </c>
      <c r="B11" s="2" t="s">
        <v>238</v>
      </c>
      <c r="C11" s="3">
        <v>2025</v>
      </c>
      <c r="D11" s="3" t="s">
        <v>34</v>
      </c>
      <c r="E11" s="3" t="s">
        <v>50</v>
      </c>
      <c r="F11" s="4">
        <v>84.2</v>
      </c>
      <c r="G11" s="5">
        <v>295</v>
      </c>
      <c r="H11" s="5">
        <v>318</v>
      </c>
      <c r="I11" s="5">
        <f>IF(AND(G11&lt;&gt;"",H11&lt;&gt;""),(G11+H11)/2,"")</f>
        <v>306.5</v>
      </c>
      <c r="J11" s="4">
        <v>104</v>
      </c>
      <c r="K11" s="4">
        <v>112</v>
      </c>
      <c r="L11" s="4">
        <f>IF(AND(J11&lt;&gt;"",K11&lt;&gt;""),(J11+K11)/2,"")</f>
        <v>108</v>
      </c>
      <c r="M11" s="6">
        <f>IF(L11&lt;&gt;"",L11/33.7,"")</f>
        <v>3.2047477744807118</v>
      </c>
      <c r="N11" s="6">
        <f>IF(AND(I11&lt;&gt;"",F11&lt;&gt;""),I11/F11,"")</f>
        <v>3.6401425178147266</v>
      </c>
      <c r="O11" s="2" t="s">
        <v>43</v>
      </c>
      <c r="P11" s="2" t="s">
        <v>44</v>
      </c>
      <c r="Q11" s="2"/>
      <c r="R11" s="3" t="s">
        <v>57</v>
      </c>
      <c r="S11" s="3" t="s">
        <v>58</v>
      </c>
      <c r="T11" s="2"/>
      <c r="U11" s="3"/>
      <c r="V11" s="3"/>
      <c r="W11" s="3"/>
      <c r="X11" s="3"/>
      <c r="Y11" s="3" t="str">
        <f>IF(AND(U11&lt;&gt;"",V11&lt;&gt;""),U11*V11,"")</f>
        <v/>
      </c>
      <c r="Z11" s="6"/>
      <c r="AA11" s="6"/>
      <c r="AB11" s="6"/>
      <c r="AC11" s="4"/>
      <c r="AD11" s="4"/>
      <c r="AE11" s="4"/>
      <c r="AF11" s="2"/>
    </row>
    <row r="12" spans="1:32" ht="16" x14ac:dyDescent="0.2">
      <c r="A12" s="3" t="s">
        <v>55</v>
      </c>
      <c r="B12" s="2" t="s">
        <v>59</v>
      </c>
      <c r="C12" s="3">
        <v>2025</v>
      </c>
      <c r="D12" s="3" t="s">
        <v>34</v>
      </c>
      <c r="E12" s="3" t="s">
        <v>111</v>
      </c>
      <c r="F12" s="4">
        <v>105.7</v>
      </c>
      <c r="G12" s="5">
        <v>227</v>
      </c>
      <c r="H12" s="5">
        <v>267</v>
      </c>
      <c r="I12" s="5">
        <f>IF(AND(G12&lt;&gt;"",H12&lt;&gt;""),(G12+H12)/2,"")</f>
        <v>247</v>
      </c>
      <c r="J12" s="4">
        <v>80</v>
      </c>
      <c r="K12" s="4">
        <v>94</v>
      </c>
      <c r="L12" s="4">
        <f>IF(AND(J12&lt;&gt;"",K12&lt;&gt;""),(J12+K12)/2,"")</f>
        <v>87</v>
      </c>
      <c r="M12" s="6">
        <f>IF(L12&lt;&gt;"",L12/33.7,"")</f>
        <v>2.58160237388724</v>
      </c>
      <c r="N12" s="6">
        <f>IF(AND(I12&lt;&gt;"",F12&lt;&gt;""),I12/F12,"")</f>
        <v>2.3368022705771048</v>
      </c>
      <c r="O12" s="2" t="s">
        <v>43</v>
      </c>
      <c r="P12" s="2" t="s">
        <v>44</v>
      </c>
      <c r="Q12" s="2"/>
      <c r="R12" s="3" t="s">
        <v>60</v>
      </c>
      <c r="S12" s="3" t="s">
        <v>58</v>
      </c>
      <c r="T12" s="2"/>
      <c r="U12" s="3"/>
      <c r="V12" s="3"/>
      <c r="W12" s="3"/>
      <c r="X12" s="3"/>
      <c r="Y12" s="3" t="str">
        <f>IF(AND(U12&lt;&gt;"",V12&lt;&gt;""),U12*V12,"")</f>
        <v/>
      </c>
      <c r="Z12" s="6"/>
      <c r="AA12" s="6"/>
      <c r="AB12" s="6"/>
      <c r="AC12" s="4"/>
      <c r="AD12" s="4"/>
      <c r="AE12" s="4"/>
      <c r="AF12" s="2"/>
    </row>
    <row r="13" spans="1:32" ht="16" x14ac:dyDescent="0.2">
      <c r="A13" s="3" t="s">
        <v>55</v>
      </c>
      <c r="B13" s="2" t="s">
        <v>239</v>
      </c>
      <c r="C13" s="3">
        <v>2025</v>
      </c>
      <c r="D13" s="3" t="s">
        <v>34</v>
      </c>
      <c r="E13" s="3" t="s">
        <v>35</v>
      </c>
      <c r="F13" s="4">
        <v>105.7</v>
      </c>
      <c r="G13" s="5">
        <v>268</v>
      </c>
      <c r="H13" s="5">
        <v>287</v>
      </c>
      <c r="I13" s="5">
        <f>IF(AND(G13&lt;&gt;"",H13&lt;&gt;""),(G13+H13)/2,"")</f>
        <v>277.5</v>
      </c>
      <c r="J13" s="4">
        <v>94</v>
      </c>
      <c r="K13" s="4">
        <v>101</v>
      </c>
      <c r="L13" s="4">
        <f>IF(AND(J13&lt;&gt;"",K13&lt;&gt;""),(J13+K13)/2,"")</f>
        <v>97.5</v>
      </c>
      <c r="M13" s="6">
        <f>IF(L13&lt;&gt;"",L13/33.7,"")</f>
        <v>2.8931750741839761</v>
      </c>
      <c r="N13" s="6">
        <f>IF(AND(I13&lt;&gt;"",F13&lt;&gt;""),I13/F13,"")</f>
        <v>2.6253547776726585</v>
      </c>
      <c r="O13" s="2" t="s">
        <v>43</v>
      </c>
      <c r="P13" s="2" t="s">
        <v>44</v>
      </c>
      <c r="Q13" s="2"/>
      <c r="R13" s="3" t="s">
        <v>57</v>
      </c>
      <c r="S13" s="3" t="s">
        <v>58</v>
      </c>
      <c r="T13" s="2"/>
      <c r="U13" s="3"/>
      <c r="V13" s="3"/>
      <c r="W13" s="3"/>
      <c r="X13" s="3"/>
      <c r="Y13" s="3" t="str">
        <f>IF(AND(U13&lt;&gt;"",V13&lt;&gt;""),U13*V13,"")</f>
        <v/>
      </c>
      <c r="Z13" s="6"/>
      <c r="AA13" s="6"/>
      <c r="AB13" s="6"/>
      <c r="AC13" s="4"/>
      <c r="AD13" s="4"/>
      <c r="AE13" s="4"/>
      <c r="AF13" s="2"/>
    </row>
    <row r="14" spans="1:32" ht="16" x14ac:dyDescent="0.2">
      <c r="A14" s="3" t="s">
        <v>55</v>
      </c>
      <c r="B14" s="2" t="s">
        <v>240</v>
      </c>
      <c r="C14" s="3">
        <v>2025</v>
      </c>
      <c r="D14" s="3" t="s">
        <v>34</v>
      </c>
      <c r="E14" s="3" t="s">
        <v>50</v>
      </c>
      <c r="F14" s="4">
        <v>84</v>
      </c>
      <c r="G14" s="5">
        <v>271</v>
      </c>
      <c r="H14" s="5">
        <v>295</v>
      </c>
      <c r="I14" s="5">
        <f>IF(AND(G14&lt;&gt;"",H14&lt;&gt;""),(G14+H14)/2,"")</f>
        <v>283</v>
      </c>
      <c r="J14" s="4">
        <v>96</v>
      </c>
      <c r="K14" s="4">
        <v>105</v>
      </c>
      <c r="L14" s="4">
        <f>IF(AND(J14&lt;&gt;"",K14&lt;&gt;""),(J14+K14)/2,"")</f>
        <v>100.5</v>
      </c>
      <c r="M14" s="6">
        <f>IF(L14&lt;&gt;"",L14/33.7,"")</f>
        <v>2.982195845697329</v>
      </c>
      <c r="N14" s="6">
        <f>IF(AND(I14&lt;&gt;"",F14&lt;&gt;""),I14/F14,"")</f>
        <v>3.3690476190476191</v>
      </c>
      <c r="O14" s="2" t="s">
        <v>43</v>
      </c>
      <c r="P14" s="2" t="s">
        <v>44</v>
      </c>
      <c r="Q14" s="2"/>
      <c r="R14" s="3" t="s">
        <v>57</v>
      </c>
      <c r="S14" s="3" t="s">
        <v>58</v>
      </c>
      <c r="T14" s="2"/>
      <c r="U14" s="3"/>
      <c r="V14" s="3"/>
      <c r="W14" s="3"/>
      <c r="X14" s="3"/>
      <c r="Y14" s="3" t="str">
        <f>IF(AND(U14&lt;&gt;"",V14&lt;&gt;""),U14*V14,"")</f>
        <v/>
      </c>
      <c r="Z14" s="6"/>
      <c r="AA14" s="6"/>
      <c r="AB14" s="6"/>
      <c r="AC14" s="4"/>
      <c r="AD14" s="4"/>
      <c r="AE14" s="4"/>
      <c r="AF14" s="2"/>
    </row>
    <row r="15" spans="1:32" ht="16" x14ac:dyDescent="0.2">
      <c r="A15" s="3" t="s">
        <v>55</v>
      </c>
      <c r="B15" s="2" t="s">
        <v>241</v>
      </c>
      <c r="C15" s="3">
        <v>2025</v>
      </c>
      <c r="D15" s="3" t="s">
        <v>34</v>
      </c>
      <c r="E15" s="3" t="s">
        <v>35</v>
      </c>
      <c r="F15" s="4">
        <v>105.6</v>
      </c>
      <c r="G15" s="5">
        <v>239</v>
      </c>
      <c r="H15" s="5">
        <v>253</v>
      </c>
      <c r="I15" s="5">
        <f>IF(AND(G15&lt;&gt;"",H15&lt;&gt;""),(G15+H15)/2,"")</f>
        <v>246</v>
      </c>
      <c r="J15" s="4">
        <v>84</v>
      </c>
      <c r="K15" s="4">
        <v>90</v>
      </c>
      <c r="L15" s="4">
        <f>IF(AND(J15&lt;&gt;"",K15&lt;&gt;""),(J15+K15)/2,"")</f>
        <v>87</v>
      </c>
      <c r="M15" s="6">
        <f>IF(L15&lt;&gt;"",L15/33.7,"")</f>
        <v>2.58160237388724</v>
      </c>
      <c r="N15" s="6">
        <f>IF(AND(I15&lt;&gt;"",F15&lt;&gt;""),I15/F15,"")</f>
        <v>2.3295454545454546</v>
      </c>
      <c r="O15" s="2" t="s">
        <v>43</v>
      </c>
      <c r="P15" s="2" t="s">
        <v>44</v>
      </c>
      <c r="Q15" s="2"/>
      <c r="R15" s="3" t="s">
        <v>57</v>
      </c>
      <c r="S15" s="3" t="s">
        <v>58</v>
      </c>
      <c r="T15" s="2"/>
      <c r="U15" s="3"/>
      <c r="V15" s="3"/>
      <c r="W15" s="3"/>
      <c r="X15" s="3"/>
      <c r="Y15" s="3" t="str">
        <f>IF(AND(U15&lt;&gt;"",V15&lt;&gt;""),U15*V15,"")</f>
        <v/>
      </c>
      <c r="Z15" s="6"/>
      <c r="AA15" s="6"/>
      <c r="AB15" s="6"/>
      <c r="AC15" s="4"/>
      <c r="AD15" s="4"/>
      <c r="AE15" s="4"/>
      <c r="AF15" s="2"/>
    </row>
    <row r="16" spans="1:32" ht="16" x14ac:dyDescent="0.2">
      <c r="A16" s="3" t="s">
        <v>55</v>
      </c>
      <c r="B16" s="2" t="s">
        <v>363</v>
      </c>
      <c r="C16" s="3">
        <v>2025</v>
      </c>
      <c r="D16" s="3" t="s">
        <v>34</v>
      </c>
      <c r="E16" s="3" t="s">
        <v>35</v>
      </c>
      <c r="F16" s="4">
        <v>105.6</v>
      </c>
      <c r="G16" s="5">
        <v>248</v>
      </c>
      <c r="H16" s="5">
        <v>266</v>
      </c>
      <c r="I16" s="5">
        <f>IF(AND(G16&lt;&gt;"",H16&lt;&gt;""),(G16+H16)/2,"")</f>
        <v>257</v>
      </c>
      <c r="J16" s="4">
        <v>87</v>
      </c>
      <c r="K16" s="4">
        <v>93</v>
      </c>
      <c r="L16" s="4">
        <f>IF(AND(J16&lt;&gt;"",K16&lt;&gt;""),(J16+K16)/2,"")</f>
        <v>90</v>
      </c>
      <c r="M16" s="6">
        <f>IF(L16&lt;&gt;"",L16/33.7,"")</f>
        <v>2.6706231454005933</v>
      </c>
      <c r="N16" s="6">
        <f>IF(AND(I16&lt;&gt;"",F16&lt;&gt;""),I16/F16,"")</f>
        <v>2.4337121212121215</v>
      </c>
      <c r="O16" s="2" t="s">
        <v>43</v>
      </c>
      <c r="P16" s="2" t="s">
        <v>44</v>
      </c>
      <c r="Q16" s="2"/>
      <c r="R16" s="3" t="s">
        <v>57</v>
      </c>
      <c r="S16" s="3" t="s">
        <v>58</v>
      </c>
      <c r="T16" s="2"/>
      <c r="U16" s="3"/>
      <c r="V16" s="3"/>
      <c r="W16" s="3"/>
      <c r="X16" s="3"/>
      <c r="Y16" s="3" t="str">
        <f>IF(AND(U16&lt;&gt;"",V16&lt;&gt;""),U16*V16,"")</f>
        <v/>
      </c>
      <c r="Z16" s="6"/>
      <c r="AA16" s="6"/>
      <c r="AB16" s="6"/>
      <c r="AC16" s="4"/>
      <c r="AD16" s="4"/>
      <c r="AE16" s="4"/>
      <c r="AF16" s="2"/>
    </row>
    <row r="17" spans="1:32" ht="16" x14ac:dyDescent="0.2">
      <c r="A17" s="3" t="s">
        <v>55</v>
      </c>
      <c r="B17" s="2" t="s">
        <v>242</v>
      </c>
      <c r="C17" s="3">
        <v>2025</v>
      </c>
      <c r="D17" s="3" t="s">
        <v>34</v>
      </c>
      <c r="E17" s="3" t="s">
        <v>50</v>
      </c>
      <c r="F17" s="4">
        <v>105.6</v>
      </c>
      <c r="G17" s="5">
        <v>301</v>
      </c>
      <c r="H17" s="5">
        <v>314</v>
      </c>
      <c r="I17" s="5">
        <f>IF(AND(G17&lt;&gt;"",H17&lt;&gt;""),(G17+H17)/2,"")</f>
        <v>307.5</v>
      </c>
      <c r="J17" s="4">
        <v>85</v>
      </c>
      <c r="K17" s="4">
        <v>88</v>
      </c>
      <c r="L17" s="4">
        <f>IF(AND(J17&lt;&gt;"",K17&lt;&gt;""),(J17+K17)/2,"")</f>
        <v>86.5</v>
      </c>
      <c r="M17" s="6">
        <f>IF(L17&lt;&gt;"",L17/33.7,"")</f>
        <v>2.5667655786350148</v>
      </c>
      <c r="N17" s="6">
        <f>IF(AND(I17&lt;&gt;"",F17&lt;&gt;""),I17/F17,"")</f>
        <v>2.9119318181818183</v>
      </c>
      <c r="O17" s="2" t="s">
        <v>43</v>
      </c>
      <c r="P17" s="2" t="s">
        <v>44</v>
      </c>
      <c r="Q17" s="2"/>
      <c r="R17" s="3" t="s">
        <v>57</v>
      </c>
      <c r="S17" s="3" t="s">
        <v>243</v>
      </c>
      <c r="T17" s="2"/>
      <c r="U17" s="3"/>
      <c r="V17" s="3"/>
      <c r="W17" s="3"/>
      <c r="X17" s="3"/>
      <c r="Y17" s="3" t="str">
        <f>IF(AND(U17&lt;&gt;"",V17&lt;&gt;""),U17*V17,"")</f>
        <v/>
      </c>
      <c r="Z17" s="6"/>
      <c r="AA17" s="6"/>
      <c r="AB17" s="6"/>
      <c r="AC17" s="4"/>
      <c r="AD17" s="4"/>
      <c r="AE17" s="4"/>
      <c r="AF17" s="2"/>
    </row>
    <row r="18" spans="1:32" ht="16" x14ac:dyDescent="0.2">
      <c r="A18" s="3" t="s">
        <v>55</v>
      </c>
      <c r="B18" s="2" t="s">
        <v>244</v>
      </c>
      <c r="C18" s="3">
        <v>2025</v>
      </c>
      <c r="D18" s="3" t="s">
        <v>34</v>
      </c>
      <c r="E18" s="3" t="s">
        <v>35</v>
      </c>
      <c r="F18" s="4">
        <v>111.8</v>
      </c>
      <c r="G18" s="5">
        <v>268</v>
      </c>
      <c r="H18" s="5">
        <v>285</v>
      </c>
      <c r="I18" s="5">
        <f>IF(AND(G18&lt;&gt;"",H18&lt;&gt;""),(G18+H18)/2,"")</f>
        <v>276.5</v>
      </c>
      <c r="J18" s="4">
        <v>75</v>
      </c>
      <c r="K18" s="4">
        <v>79</v>
      </c>
      <c r="L18" s="4">
        <f>IF(AND(J18&lt;&gt;"",K18&lt;&gt;""),(J18+K18)/2,"")</f>
        <v>77</v>
      </c>
      <c r="M18" s="6">
        <f>IF(L18&lt;&gt;"",L18/33.7,"")</f>
        <v>2.2848664688427296</v>
      </c>
      <c r="N18" s="6">
        <f>IF(AND(I18&lt;&gt;"",F18&lt;&gt;""),I18/F18,"")</f>
        <v>2.4731663685152059</v>
      </c>
      <c r="O18" s="2" t="s">
        <v>43</v>
      </c>
      <c r="P18" s="2" t="s">
        <v>44</v>
      </c>
      <c r="Q18" s="2"/>
      <c r="R18" s="3" t="s">
        <v>57</v>
      </c>
      <c r="S18" s="3" t="s">
        <v>243</v>
      </c>
      <c r="T18" s="2"/>
      <c r="U18" s="3"/>
      <c r="V18" s="3"/>
      <c r="W18" s="3"/>
      <c r="X18" s="3"/>
      <c r="Y18" s="3" t="str">
        <f>IF(AND(U18&lt;&gt;"",V18&lt;&gt;""),U18*V18,"")</f>
        <v/>
      </c>
      <c r="Z18" s="6"/>
      <c r="AA18" s="6"/>
      <c r="AB18" s="6"/>
      <c r="AC18" s="4"/>
      <c r="AD18" s="4"/>
      <c r="AE18" s="4"/>
      <c r="AF18" s="2"/>
    </row>
    <row r="19" spans="1:32" ht="16" x14ac:dyDescent="0.2">
      <c r="A19" s="3" t="s">
        <v>55</v>
      </c>
      <c r="B19" s="2" t="s">
        <v>61</v>
      </c>
      <c r="C19" s="3">
        <v>2025</v>
      </c>
      <c r="D19" s="3" t="s">
        <v>34</v>
      </c>
      <c r="E19" s="3" t="s">
        <v>35</v>
      </c>
      <c r="F19" s="4">
        <v>105.6</v>
      </c>
      <c r="G19" s="5">
        <v>296</v>
      </c>
      <c r="H19" s="5">
        <v>311</v>
      </c>
      <c r="I19" s="5">
        <f>IF(AND(G19&lt;&gt;"",H19&lt;&gt;""),(G19+H19)/2,"")</f>
        <v>303.5</v>
      </c>
      <c r="J19" s="4">
        <v>83</v>
      </c>
      <c r="K19" s="4">
        <v>88</v>
      </c>
      <c r="L19" s="4">
        <f>IF(AND(J19&lt;&gt;"",K19&lt;&gt;""),(J19+K19)/2,"")</f>
        <v>85.5</v>
      </c>
      <c r="M19" s="6">
        <f>IF(L19&lt;&gt;"",L19/33.7,"")</f>
        <v>2.5370919881305638</v>
      </c>
      <c r="N19" s="6">
        <f>IF(AND(I19&lt;&gt;"",F19&lt;&gt;""),I19/F19,"")</f>
        <v>2.8740530303030303</v>
      </c>
      <c r="O19" s="2" t="s">
        <v>43</v>
      </c>
      <c r="P19" s="2" t="s">
        <v>44</v>
      </c>
      <c r="Q19" s="2"/>
      <c r="R19" s="3" t="s">
        <v>57</v>
      </c>
      <c r="S19" s="3" t="s">
        <v>243</v>
      </c>
      <c r="T19" s="2"/>
      <c r="U19" s="3"/>
      <c r="V19" s="3"/>
      <c r="W19" s="3"/>
      <c r="X19" s="3"/>
      <c r="Y19" s="3" t="str">
        <f>IF(AND(U19&lt;&gt;"",V19&lt;&gt;""),U19*V19,"")</f>
        <v/>
      </c>
      <c r="Z19" s="6"/>
      <c r="AA19" s="6"/>
      <c r="AB19" s="6"/>
      <c r="AC19" s="4"/>
      <c r="AD19" s="4"/>
      <c r="AE19" s="4"/>
      <c r="AF19" s="2"/>
    </row>
    <row r="20" spans="1:32" ht="16" x14ac:dyDescent="0.2">
      <c r="A20" s="3" t="s">
        <v>55</v>
      </c>
      <c r="B20" s="2" t="s">
        <v>64</v>
      </c>
      <c r="C20" s="3">
        <v>2025</v>
      </c>
      <c r="D20" s="3" t="s">
        <v>42</v>
      </c>
      <c r="E20" s="3" t="s">
        <v>35</v>
      </c>
      <c r="F20" s="4">
        <v>111.8</v>
      </c>
      <c r="G20" s="5">
        <v>284</v>
      </c>
      <c r="H20" s="5">
        <v>285</v>
      </c>
      <c r="I20" s="5">
        <f>IF(AND(G20&lt;&gt;"",H20&lt;&gt;""),(G20+H20)/2,"")</f>
        <v>284.5</v>
      </c>
      <c r="J20" s="4">
        <v>76</v>
      </c>
      <c r="K20" s="4">
        <v>77</v>
      </c>
      <c r="L20" s="4">
        <f>IF(AND(J20&lt;&gt;"",K20&lt;&gt;""),(J20+K20)/2,"")</f>
        <v>76.5</v>
      </c>
      <c r="M20" s="6">
        <f>IF(L20&lt;&gt;"",L20/33.7,"")</f>
        <v>2.2700296735905043</v>
      </c>
      <c r="N20" s="6">
        <f>IF(AND(I20&lt;&gt;"",F20&lt;&gt;""),I20/F20,"")</f>
        <v>2.544722719141324</v>
      </c>
      <c r="O20" s="2" t="s">
        <v>43</v>
      </c>
      <c r="P20" s="2" t="s">
        <v>44</v>
      </c>
      <c r="Q20" s="2"/>
      <c r="R20" s="3" t="s">
        <v>57</v>
      </c>
      <c r="S20" s="3" t="s">
        <v>65</v>
      </c>
      <c r="T20" s="2"/>
      <c r="U20" s="3"/>
      <c r="V20" s="3"/>
      <c r="W20" s="3"/>
      <c r="X20" s="3"/>
      <c r="Y20" s="3" t="str">
        <f>IF(AND(U20&lt;&gt;"",V20&lt;&gt;""),U20*V20,"")</f>
        <v/>
      </c>
      <c r="Z20" s="6"/>
      <c r="AA20" s="6"/>
      <c r="AB20" s="6"/>
      <c r="AC20" s="4"/>
      <c r="AD20" s="4"/>
      <c r="AE20" s="4"/>
      <c r="AF20" s="2"/>
    </row>
    <row r="21" spans="1:32" ht="16" x14ac:dyDescent="0.2">
      <c r="A21" s="3" t="s">
        <v>55</v>
      </c>
      <c r="B21" s="2" t="s">
        <v>66</v>
      </c>
      <c r="C21" s="3">
        <v>2025</v>
      </c>
      <c r="D21" s="3" t="s">
        <v>42</v>
      </c>
      <c r="E21" s="3" t="s">
        <v>35</v>
      </c>
      <c r="F21" s="4">
        <v>111.8</v>
      </c>
      <c r="G21" s="5">
        <v>211</v>
      </c>
      <c r="H21" s="5">
        <v>219</v>
      </c>
      <c r="I21" s="5">
        <f>IF(AND(G21&lt;&gt;"",H21&lt;&gt;""),(G21+H21)/2,"")</f>
        <v>215</v>
      </c>
      <c r="J21" s="4">
        <v>83</v>
      </c>
      <c r="K21" s="4">
        <v>87</v>
      </c>
      <c r="L21" s="4">
        <f>IF(AND(J21&lt;&gt;"",K21&lt;&gt;""),(J21+K21)/2,"")</f>
        <v>85</v>
      </c>
      <c r="M21" s="6">
        <f>IF(L21&lt;&gt;"",L21/33.7,"")</f>
        <v>2.5222551928783381</v>
      </c>
      <c r="N21" s="6">
        <f>IF(AND(I21&lt;&gt;"",F21&lt;&gt;""),I21/F21,"")</f>
        <v>1.9230769230769231</v>
      </c>
      <c r="O21" s="2" t="s">
        <v>43</v>
      </c>
      <c r="P21" s="2" t="s">
        <v>44</v>
      </c>
      <c r="Q21" s="2"/>
      <c r="R21" s="3" t="s">
        <v>57</v>
      </c>
      <c r="S21" s="3" t="s">
        <v>65</v>
      </c>
      <c r="T21" s="2"/>
      <c r="U21" s="3"/>
      <c r="V21" s="3"/>
      <c r="W21" s="3"/>
      <c r="X21" s="3"/>
      <c r="Y21" s="3" t="str">
        <f>IF(AND(U21&lt;&gt;"",V21&lt;&gt;""),U21*V21,"")</f>
        <v/>
      </c>
      <c r="Z21" s="6"/>
      <c r="AA21" s="6"/>
      <c r="AB21" s="6"/>
      <c r="AC21" s="4"/>
      <c r="AD21" s="4"/>
      <c r="AE21" s="4"/>
      <c r="AF21" s="2"/>
    </row>
    <row r="22" spans="1:32" ht="16" x14ac:dyDescent="0.2">
      <c r="A22" s="3" t="s">
        <v>55</v>
      </c>
      <c r="B22" s="2" t="s">
        <v>66</v>
      </c>
      <c r="C22" s="3">
        <v>2025</v>
      </c>
      <c r="D22" s="3" t="s">
        <v>42</v>
      </c>
      <c r="E22" s="3" t="s">
        <v>35</v>
      </c>
      <c r="F22" s="4">
        <v>111.8</v>
      </c>
      <c r="G22" s="5">
        <v>302</v>
      </c>
      <c r="H22" s="5">
        <v>309</v>
      </c>
      <c r="I22" s="5">
        <f>IF(AND(G22&lt;&gt;"",H22&lt;&gt;""),(G22+H22)/2,"")</f>
        <v>305.5</v>
      </c>
      <c r="J22" s="4">
        <v>81</v>
      </c>
      <c r="K22" s="4">
        <v>83</v>
      </c>
      <c r="L22" s="4">
        <f>IF(AND(J22&lt;&gt;"",K22&lt;&gt;""),(J22+K22)/2,"")</f>
        <v>82</v>
      </c>
      <c r="M22" s="6">
        <f>IF(L22&lt;&gt;"",L22/33.7,"")</f>
        <v>2.4332344213649848</v>
      </c>
      <c r="N22" s="6">
        <f>IF(AND(I22&lt;&gt;"",F22&lt;&gt;""),I22/F22,"")</f>
        <v>2.7325581395348837</v>
      </c>
      <c r="O22" s="2" t="s">
        <v>43</v>
      </c>
      <c r="P22" s="2" t="s">
        <v>44</v>
      </c>
      <c r="Q22" s="2"/>
      <c r="R22" s="3" t="s">
        <v>57</v>
      </c>
      <c r="S22" s="3" t="s">
        <v>65</v>
      </c>
      <c r="T22" s="2"/>
      <c r="U22" s="3"/>
      <c r="V22" s="3"/>
      <c r="W22" s="3"/>
      <c r="X22" s="3"/>
      <c r="Y22" s="3" t="str">
        <f>IF(AND(U22&lt;&gt;"",V22&lt;&gt;""),U22*V22,"")</f>
        <v/>
      </c>
      <c r="Z22" s="6"/>
      <c r="AA22" s="6"/>
      <c r="AB22" s="6"/>
      <c r="AC22" s="4"/>
      <c r="AD22" s="4"/>
      <c r="AE22" s="4"/>
      <c r="AF22" s="2"/>
    </row>
    <row r="23" spans="1:32" ht="16" x14ac:dyDescent="0.2">
      <c r="A23" s="3" t="s">
        <v>245</v>
      </c>
      <c r="B23" s="2" t="s">
        <v>246</v>
      </c>
      <c r="C23" s="3">
        <v>2025</v>
      </c>
      <c r="D23" s="3" t="s">
        <v>34</v>
      </c>
      <c r="E23" s="3" t="s">
        <v>111</v>
      </c>
      <c r="F23" s="4">
        <v>153.6</v>
      </c>
      <c r="G23" s="5">
        <v>204</v>
      </c>
      <c r="H23" s="5">
        <v>204</v>
      </c>
      <c r="I23" s="5">
        <f>IF(AND(G23&lt;&gt;"",H23&lt;&gt;""),(G23+H23)/2,"")</f>
        <v>204</v>
      </c>
      <c r="J23" s="4">
        <v>53</v>
      </c>
      <c r="K23" s="4">
        <v>53</v>
      </c>
      <c r="L23" s="4">
        <f>IF(AND(J23&lt;&gt;"",K23&lt;&gt;""),(J23+K23)/2,"")</f>
        <v>53</v>
      </c>
      <c r="M23" s="6">
        <f>IF(L23&lt;&gt;"",L23/33.7,"")</f>
        <v>1.5727002967359049</v>
      </c>
      <c r="N23" s="6">
        <f>IF(AND(I23&lt;&gt;"",F23&lt;&gt;""),I23/F23,"")</f>
        <v>1.328125</v>
      </c>
      <c r="O23" s="2" t="s">
        <v>43</v>
      </c>
      <c r="P23" s="2" t="s">
        <v>44</v>
      </c>
      <c r="Q23" s="2"/>
      <c r="R23" s="3" t="s">
        <v>62</v>
      </c>
      <c r="S23" s="3" t="s">
        <v>63</v>
      </c>
      <c r="T23" s="2"/>
      <c r="U23" s="3"/>
      <c r="V23" s="3"/>
      <c r="W23" s="3"/>
      <c r="X23" s="3"/>
      <c r="Y23" s="3" t="str">
        <f>IF(AND(U23&lt;&gt;"",V23&lt;&gt;""),U23*V23,"")</f>
        <v/>
      </c>
      <c r="Z23" s="6"/>
      <c r="AA23" s="6"/>
      <c r="AB23" s="6"/>
      <c r="AC23" s="4"/>
      <c r="AD23" s="4"/>
      <c r="AE23" s="4"/>
      <c r="AF23" s="2"/>
    </row>
    <row r="24" spans="1:32" ht="16" x14ac:dyDescent="0.2">
      <c r="A24" s="3" t="s">
        <v>67</v>
      </c>
      <c r="B24" s="2" t="s">
        <v>68</v>
      </c>
      <c r="C24" s="3">
        <v>2025</v>
      </c>
      <c r="D24" s="3" t="s">
        <v>42</v>
      </c>
      <c r="E24" s="3" t="s">
        <v>50</v>
      </c>
      <c r="F24" s="4">
        <v>116</v>
      </c>
      <c r="G24" s="5">
        <v>326</v>
      </c>
      <c r="H24" s="5">
        <v>326</v>
      </c>
      <c r="I24" s="5">
        <f>IF(AND(G24&lt;&gt;"",H24&lt;&gt;""),(G24+H24)/2,"")</f>
        <v>326</v>
      </c>
      <c r="J24" s="4">
        <v>92</v>
      </c>
      <c r="K24" s="4">
        <v>92</v>
      </c>
      <c r="L24" s="4">
        <f>IF(AND(J24&lt;&gt;"",K24&lt;&gt;""),(J24+K24)/2,"")</f>
        <v>92</v>
      </c>
      <c r="M24" s="6">
        <f>IF(L24&lt;&gt;"",L24/33.7,"")</f>
        <v>2.7299703264094952</v>
      </c>
      <c r="N24" s="6">
        <f>IF(AND(I24&lt;&gt;"",F24&lt;&gt;""),I24/F24,"")</f>
        <v>2.8103448275862069</v>
      </c>
      <c r="O24" s="2" t="s">
        <v>43</v>
      </c>
      <c r="P24" s="2" t="s">
        <v>44</v>
      </c>
      <c r="Q24" s="2"/>
      <c r="R24" s="3" t="s">
        <v>69</v>
      </c>
      <c r="S24" s="3" t="s">
        <v>70</v>
      </c>
      <c r="T24" s="2"/>
      <c r="U24" s="3"/>
      <c r="V24" s="3"/>
      <c r="W24" s="3"/>
      <c r="X24" s="3"/>
      <c r="Y24" s="3" t="str">
        <f>IF(AND(U24&lt;&gt;"",V24&lt;&gt;""),U24*V24,"")</f>
        <v/>
      </c>
      <c r="Z24" s="6"/>
      <c r="AA24" s="6"/>
      <c r="AB24" s="6"/>
      <c r="AC24" s="4"/>
      <c r="AD24" s="4"/>
      <c r="AE24" s="4"/>
      <c r="AF24" s="2"/>
    </row>
    <row r="25" spans="1:32" ht="16" x14ac:dyDescent="0.2">
      <c r="A25" s="3" t="s">
        <v>67</v>
      </c>
      <c r="B25" s="2" t="s">
        <v>71</v>
      </c>
      <c r="C25" s="3">
        <v>2025</v>
      </c>
      <c r="D25" s="3" t="s">
        <v>42</v>
      </c>
      <c r="E25" s="3" t="s">
        <v>35</v>
      </c>
      <c r="F25" s="4">
        <v>116.9</v>
      </c>
      <c r="G25" s="5">
        <v>303</v>
      </c>
      <c r="H25" s="5">
        <v>319</v>
      </c>
      <c r="I25" s="5">
        <f>IF(AND(G25&lt;&gt;"",H25&lt;&gt;""),(G25+H25)/2,"")</f>
        <v>311</v>
      </c>
      <c r="J25" s="4">
        <v>86</v>
      </c>
      <c r="K25" s="4">
        <v>89</v>
      </c>
      <c r="L25" s="4">
        <f>IF(AND(J25&lt;&gt;"",K25&lt;&gt;""),(J25+K25)/2,"")</f>
        <v>87.5</v>
      </c>
      <c r="M25" s="6">
        <f>IF(L25&lt;&gt;"",L25/33.7,"")</f>
        <v>2.5964391691394657</v>
      </c>
      <c r="N25" s="6">
        <f>IF(AND(I25&lt;&gt;"",F25&lt;&gt;""),I25/F25,"")</f>
        <v>2.6603934987168518</v>
      </c>
      <c r="O25" s="2" t="s">
        <v>43</v>
      </c>
      <c r="P25" s="2" t="s">
        <v>44</v>
      </c>
      <c r="Q25" s="2"/>
      <c r="R25" s="3" t="s">
        <v>69</v>
      </c>
      <c r="S25" s="3" t="s">
        <v>70</v>
      </c>
      <c r="T25" s="2"/>
      <c r="U25" s="3"/>
      <c r="V25" s="3"/>
      <c r="W25" s="3"/>
      <c r="X25" s="3"/>
      <c r="Y25" s="3" t="str">
        <f>IF(AND(U25&lt;&gt;"",V25&lt;&gt;""),U25*V25,"")</f>
        <v/>
      </c>
      <c r="Z25" s="6"/>
      <c r="AA25" s="6"/>
      <c r="AB25" s="6"/>
      <c r="AC25" s="4"/>
      <c r="AD25" s="4"/>
      <c r="AE25" s="4"/>
      <c r="AF25" s="2"/>
    </row>
    <row r="26" spans="1:32" ht="16" x14ac:dyDescent="0.2">
      <c r="A26" s="3" t="s">
        <v>72</v>
      </c>
      <c r="B26" s="2" t="s">
        <v>247</v>
      </c>
      <c r="C26" s="3">
        <v>2025</v>
      </c>
      <c r="D26" s="3" t="s">
        <v>42</v>
      </c>
      <c r="E26" s="3" t="s">
        <v>35</v>
      </c>
      <c r="F26" s="4">
        <v>97.4</v>
      </c>
      <c r="G26" s="5">
        <v>283</v>
      </c>
      <c r="H26" s="5">
        <v>283</v>
      </c>
      <c r="I26" s="5">
        <f>IF(AND(G26&lt;&gt;"",H26&lt;&gt;""),(G26+H26)/2,"")</f>
        <v>283</v>
      </c>
      <c r="J26" s="4">
        <v>95</v>
      </c>
      <c r="K26" s="4">
        <v>95</v>
      </c>
      <c r="L26" s="4">
        <f>IF(AND(J26&lt;&gt;"",K26&lt;&gt;""),(J26+K26)/2,"")</f>
        <v>95</v>
      </c>
      <c r="M26" s="6">
        <f>IF(L26&lt;&gt;"",L26/33.7,"")</f>
        <v>2.8189910979228485</v>
      </c>
      <c r="N26" s="6">
        <f>IF(AND(I26&lt;&gt;"",F26&lt;&gt;""),I26/F26,"")</f>
        <v>2.9055441478439423</v>
      </c>
      <c r="O26" s="2" t="s">
        <v>43</v>
      </c>
      <c r="P26" s="2" t="s">
        <v>44</v>
      </c>
      <c r="Q26" s="2"/>
      <c r="R26" s="3" t="s">
        <v>248</v>
      </c>
      <c r="S26" s="3" t="s">
        <v>249</v>
      </c>
      <c r="T26" s="2"/>
      <c r="U26" s="3"/>
      <c r="V26" s="3"/>
      <c r="W26" s="3"/>
      <c r="X26" s="3"/>
      <c r="Y26" s="3" t="str">
        <f>IF(AND(U26&lt;&gt;"",V26&lt;&gt;""),U26*V26,"")</f>
        <v/>
      </c>
      <c r="Z26" s="6"/>
      <c r="AA26" s="6"/>
      <c r="AB26" s="6"/>
      <c r="AC26" s="4"/>
      <c r="AD26" s="4"/>
      <c r="AE26" s="4"/>
      <c r="AF26" s="2"/>
    </row>
    <row r="27" spans="1:32" ht="16" x14ac:dyDescent="0.2">
      <c r="A27" s="3" t="s">
        <v>72</v>
      </c>
      <c r="B27" s="2" t="s">
        <v>250</v>
      </c>
      <c r="C27" s="3">
        <v>2025</v>
      </c>
      <c r="D27" s="3" t="s">
        <v>42</v>
      </c>
      <c r="E27" s="3" t="s">
        <v>50</v>
      </c>
      <c r="F27" s="4">
        <v>116</v>
      </c>
      <c r="G27" s="5">
        <v>334</v>
      </c>
      <c r="H27" s="5">
        <v>334</v>
      </c>
      <c r="I27" s="5">
        <f>IF(AND(G27&lt;&gt;"",H27&lt;&gt;""),(G27+H27)/2,"")</f>
        <v>334</v>
      </c>
      <c r="J27" s="4">
        <v>95</v>
      </c>
      <c r="K27" s="4">
        <v>95</v>
      </c>
      <c r="L27" s="4">
        <f>IF(AND(J27&lt;&gt;"",K27&lt;&gt;""),(J27+K27)/2,"")</f>
        <v>95</v>
      </c>
      <c r="M27" s="6">
        <f>IF(L27&lt;&gt;"",L27/33.7,"")</f>
        <v>2.8189910979228485</v>
      </c>
      <c r="N27" s="6">
        <f>IF(AND(I27&lt;&gt;"",F27&lt;&gt;""),I27/F27,"")</f>
        <v>2.8793103448275863</v>
      </c>
      <c r="O27" s="2" t="s">
        <v>43</v>
      </c>
      <c r="P27" s="2" t="s">
        <v>44</v>
      </c>
      <c r="Q27" s="2"/>
      <c r="R27" s="3" t="s">
        <v>248</v>
      </c>
      <c r="S27" s="3" t="s">
        <v>249</v>
      </c>
      <c r="T27" s="2"/>
      <c r="U27" s="3"/>
      <c r="V27" s="3"/>
      <c r="W27" s="3"/>
      <c r="X27" s="3"/>
      <c r="Y27" s="3" t="str">
        <f>IF(AND(U27&lt;&gt;"",V27&lt;&gt;""),U27*V27,"")</f>
        <v/>
      </c>
      <c r="Z27" s="6"/>
      <c r="AA27" s="6"/>
      <c r="AB27" s="6"/>
      <c r="AC27" s="4"/>
      <c r="AD27" s="4"/>
      <c r="AE27" s="4"/>
      <c r="AF27" s="2"/>
    </row>
    <row r="28" spans="1:32" ht="16" x14ac:dyDescent="0.2">
      <c r="A28" s="3" t="s">
        <v>72</v>
      </c>
      <c r="B28" s="2" t="s">
        <v>251</v>
      </c>
      <c r="C28" s="3">
        <v>2025</v>
      </c>
      <c r="D28" s="3" t="s">
        <v>42</v>
      </c>
      <c r="E28" s="3" t="s">
        <v>35</v>
      </c>
      <c r="F28" s="4">
        <v>97.4</v>
      </c>
      <c r="G28" s="5">
        <v>307</v>
      </c>
      <c r="H28" s="5">
        <v>307</v>
      </c>
      <c r="I28" s="5">
        <f>IF(AND(G28&lt;&gt;"",H28&lt;&gt;""),(G28+H28)/2,"")</f>
        <v>307</v>
      </c>
      <c r="J28" s="4">
        <v>96</v>
      </c>
      <c r="K28" s="4">
        <v>103</v>
      </c>
      <c r="L28" s="4">
        <f>IF(AND(J28&lt;&gt;"",K28&lt;&gt;""),(J28+K28)/2,"")</f>
        <v>99.5</v>
      </c>
      <c r="M28" s="6">
        <f>IF(L28&lt;&gt;"",L28/33.7,"")</f>
        <v>2.952522255192878</v>
      </c>
      <c r="N28" s="6">
        <f>IF(AND(I28&lt;&gt;"",F28&lt;&gt;""),I28/F28,"")</f>
        <v>3.1519507186858315</v>
      </c>
      <c r="O28" s="2" t="s">
        <v>43</v>
      </c>
      <c r="P28" s="2" t="s">
        <v>44</v>
      </c>
      <c r="Q28" s="2"/>
      <c r="R28" s="3" t="s">
        <v>75</v>
      </c>
      <c r="S28" s="3" t="s">
        <v>364</v>
      </c>
      <c r="T28" s="2"/>
      <c r="U28" s="3"/>
      <c r="V28" s="3"/>
      <c r="W28" s="3"/>
      <c r="X28" s="3"/>
      <c r="Y28" s="3" t="str">
        <f>IF(AND(U28&lt;&gt;"",V28&lt;&gt;""),U28*V28,"")</f>
        <v/>
      </c>
      <c r="Z28" s="6"/>
      <c r="AA28" s="6"/>
      <c r="AB28" s="6"/>
      <c r="AC28" s="4"/>
      <c r="AD28" s="4"/>
      <c r="AE28" s="4"/>
      <c r="AF28" s="2"/>
    </row>
    <row r="29" spans="1:32" ht="16" x14ac:dyDescent="0.2">
      <c r="A29" s="3" t="s">
        <v>72</v>
      </c>
      <c r="B29" s="2" t="s">
        <v>252</v>
      </c>
      <c r="C29" s="3">
        <v>2025</v>
      </c>
      <c r="D29" s="3" t="s">
        <v>42</v>
      </c>
      <c r="E29" s="3" t="s">
        <v>74</v>
      </c>
      <c r="F29" s="4">
        <v>97.4</v>
      </c>
      <c r="G29" s="5">
        <v>319</v>
      </c>
      <c r="H29" s="5">
        <v>319</v>
      </c>
      <c r="I29" s="5">
        <f>IF(AND(G29&lt;&gt;"",H29&lt;&gt;""),(G29+H29)/2,"")</f>
        <v>319</v>
      </c>
      <c r="J29" s="4">
        <v>109</v>
      </c>
      <c r="K29" s="4">
        <v>109</v>
      </c>
      <c r="L29" s="4">
        <f>IF(AND(J29&lt;&gt;"",K29&lt;&gt;""),(J29+K29)/2,"")</f>
        <v>109</v>
      </c>
      <c r="M29" s="6">
        <f>IF(L29&lt;&gt;"",L29/33.7,"")</f>
        <v>3.2344213649851628</v>
      </c>
      <c r="N29" s="6">
        <f>IF(AND(I29&lt;&gt;"",F29&lt;&gt;""),I29/F29,"")</f>
        <v>3.2751540041067759</v>
      </c>
      <c r="O29" s="2" t="s">
        <v>43</v>
      </c>
      <c r="P29" s="2" t="s">
        <v>44</v>
      </c>
      <c r="Q29" s="2"/>
      <c r="R29" s="3" t="s">
        <v>75</v>
      </c>
      <c r="S29" s="3" t="s">
        <v>364</v>
      </c>
      <c r="T29" s="2"/>
      <c r="U29" s="3"/>
      <c r="V29" s="3"/>
      <c r="W29" s="3"/>
      <c r="X29" s="3"/>
      <c r="Y29" s="3" t="str">
        <f>IF(AND(U29&lt;&gt;"",V29&lt;&gt;""),U29*V29,"")</f>
        <v/>
      </c>
      <c r="Z29" s="6"/>
      <c r="AA29" s="6"/>
      <c r="AB29" s="6"/>
      <c r="AC29" s="4"/>
      <c r="AD29" s="4"/>
      <c r="AE29" s="4"/>
      <c r="AF29" s="2"/>
    </row>
    <row r="30" spans="1:32" ht="16" x14ac:dyDescent="0.2">
      <c r="A30" s="3" t="s">
        <v>72</v>
      </c>
      <c r="B30" s="2" t="s">
        <v>253</v>
      </c>
      <c r="C30" s="3">
        <v>2025</v>
      </c>
      <c r="D30" s="3" t="s">
        <v>86</v>
      </c>
      <c r="E30" s="3" t="s">
        <v>111</v>
      </c>
      <c r="F30" s="4">
        <v>136.30000000000001</v>
      </c>
      <c r="G30" s="5">
        <v>390</v>
      </c>
      <c r="H30" s="5">
        <v>492</v>
      </c>
      <c r="I30" s="5">
        <f>IF(AND(G30&lt;&gt;"",H30&lt;&gt;""),(G30+H30)/2,"")</f>
        <v>441</v>
      </c>
      <c r="J30" s="4">
        <v>64</v>
      </c>
      <c r="K30" s="4">
        <v>70</v>
      </c>
      <c r="L30" s="4">
        <f>IF(AND(J30&lt;&gt;"",K30&lt;&gt;""),(J30+K30)/2,"")</f>
        <v>67</v>
      </c>
      <c r="M30" s="6">
        <f>IF(L30&lt;&gt;"",L30/33.7,"")</f>
        <v>1.9881305637982194</v>
      </c>
      <c r="N30" s="6">
        <f>IF(AND(I30&lt;&gt;"",F30&lt;&gt;""),I30/F30,"")</f>
        <v>3.2355099046221567</v>
      </c>
      <c r="O30" s="2" t="s">
        <v>43</v>
      </c>
      <c r="P30" s="2" t="s">
        <v>44</v>
      </c>
      <c r="Q30" s="2"/>
      <c r="R30" s="3" t="s">
        <v>365</v>
      </c>
      <c r="S30" s="3" t="s">
        <v>366</v>
      </c>
      <c r="T30" s="2"/>
      <c r="U30" s="3"/>
      <c r="V30" s="3"/>
      <c r="W30" s="3"/>
      <c r="X30" s="3"/>
      <c r="Y30" s="3" t="str">
        <f>IF(AND(U30&lt;&gt;"",V30&lt;&gt;""),U30*V30,"")</f>
        <v/>
      </c>
      <c r="Z30" s="6"/>
      <c r="AA30" s="6"/>
      <c r="AB30" s="6"/>
      <c r="AC30" s="4"/>
      <c r="AD30" s="4"/>
      <c r="AE30" s="4"/>
      <c r="AF30" s="2"/>
    </row>
    <row r="31" spans="1:32" ht="16" x14ac:dyDescent="0.2">
      <c r="A31" s="3" t="s">
        <v>256</v>
      </c>
      <c r="B31" s="2" t="s">
        <v>257</v>
      </c>
      <c r="C31" s="3">
        <v>2025</v>
      </c>
      <c r="D31" s="3" t="s">
        <v>34</v>
      </c>
      <c r="E31" s="3" t="s">
        <v>74</v>
      </c>
      <c r="F31" s="4">
        <v>42.2</v>
      </c>
      <c r="G31" s="5">
        <v>141</v>
      </c>
      <c r="H31" s="5">
        <v>149</v>
      </c>
      <c r="I31" s="5">
        <f>IF(AND(G31&lt;&gt;"",H31&lt;&gt;""),(G31+H31)/2,"")</f>
        <v>145</v>
      </c>
      <c r="J31" s="4">
        <v>110</v>
      </c>
      <c r="K31" s="4">
        <v>116</v>
      </c>
      <c r="L31" s="4">
        <f>IF(AND(J31&lt;&gt;"",K31&lt;&gt;""),(J31+K31)/2,"")</f>
        <v>113</v>
      </c>
      <c r="M31" s="6">
        <f>IF(L31&lt;&gt;"",L31/33.7,"")</f>
        <v>3.353115727002967</v>
      </c>
      <c r="N31" s="6">
        <f>IF(AND(I31&lt;&gt;"",F31&lt;&gt;""),I31/F31,"")</f>
        <v>3.4360189573459712</v>
      </c>
      <c r="O31" s="2" t="s">
        <v>43</v>
      </c>
      <c r="P31" s="2" t="s">
        <v>44</v>
      </c>
      <c r="Q31" s="2"/>
      <c r="R31" s="3" t="s">
        <v>367</v>
      </c>
      <c r="S31" s="3" t="s">
        <v>368</v>
      </c>
      <c r="T31" s="2"/>
      <c r="U31" s="3"/>
      <c r="V31" s="3"/>
      <c r="W31" s="3"/>
      <c r="X31" s="3"/>
      <c r="Y31" s="3" t="str">
        <f>IF(AND(U31&lt;&gt;"",V31&lt;&gt;""),U31*V31,"")</f>
        <v/>
      </c>
      <c r="Z31" s="6"/>
      <c r="AA31" s="6"/>
      <c r="AB31" s="6"/>
      <c r="AC31" s="4"/>
      <c r="AD31" s="4"/>
      <c r="AE31" s="4"/>
      <c r="AF31" s="2"/>
    </row>
    <row r="32" spans="1:32" ht="16" x14ac:dyDescent="0.2">
      <c r="A32" s="3" t="s">
        <v>84</v>
      </c>
      <c r="B32" s="2" t="s">
        <v>369</v>
      </c>
      <c r="C32" s="3">
        <v>2025</v>
      </c>
      <c r="D32" s="3" t="s">
        <v>86</v>
      </c>
      <c r="E32" s="3" t="s">
        <v>35</v>
      </c>
      <c r="F32" s="4">
        <v>165.2</v>
      </c>
      <c r="G32" s="5">
        <v>300</v>
      </c>
      <c r="H32" s="5">
        <v>320</v>
      </c>
      <c r="I32" s="5">
        <f>IF(AND(G32&lt;&gt;"",H32&lt;&gt;""),(G32+H32)/2,"")</f>
        <v>310</v>
      </c>
      <c r="J32" s="4">
        <v>66</v>
      </c>
      <c r="K32" s="4">
        <v>70</v>
      </c>
      <c r="L32" s="4">
        <f>IF(AND(J32&lt;&gt;"",K32&lt;&gt;""),(J32+K32)/2,"")</f>
        <v>68</v>
      </c>
      <c r="M32" s="6">
        <f>IF(L32&lt;&gt;"",L32/33.7,"")</f>
        <v>2.0178041543026706</v>
      </c>
      <c r="N32" s="6">
        <f>IF(AND(I32&lt;&gt;"",F32&lt;&gt;""),I32/F32,"")</f>
        <v>1.8765133171912833</v>
      </c>
      <c r="O32" s="2" t="s">
        <v>43</v>
      </c>
      <c r="P32" s="2" t="s">
        <v>44</v>
      </c>
      <c r="Q32" s="2"/>
      <c r="R32" s="3" t="s">
        <v>87</v>
      </c>
      <c r="S32" s="3" t="s">
        <v>88</v>
      </c>
      <c r="T32" s="2"/>
      <c r="U32" s="3"/>
      <c r="V32" s="3"/>
      <c r="W32" s="3"/>
      <c r="X32" s="3"/>
      <c r="Y32" s="3" t="str">
        <f>IF(AND(U32&lt;&gt;"",V32&lt;&gt;""),U32*V32,"")</f>
        <v/>
      </c>
      <c r="Z32" s="6"/>
      <c r="AA32" s="6"/>
      <c r="AB32" s="6"/>
      <c r="AC32" s="4"/>
      <c r="AD32" s="4"/>
      <c r="AE32" s="4"/>
      <c r="AF32" s="2"/>
    </row>
    <row r="33" spans="1:32" ht="16" x14ac:dyDescent="0.2">
      <c r="A33" s="3" t="s">
        <v>84</v>
      </c>
      <c r="B33" s="2" t="s">
        <v>370</v>
      </c>
      <c r="C33" s="3">
        <v>2025</v>
      </c>
      <c r="D33" s="3" t="s">
        <v>86</v>
      </c>
      <c r="E33" s="3" t="s">
        <v>35</v>
      </c>
      <c r="F33" s="4">
        <v>124</v>
      </c>
      <c r="G33" s="5">
        <v>240</v>
      </c>
      <c r="H33" s="5">
        <v>240</v>
      </c>
      <c r="I33" s="5">
        <f>IF(AND(G33&lt;&gt;"",H33&lt;&gt;""),(G33+H33)/2,"")</f>
        <v>240</v>
      </c>
      <c r="J33" s="4">
        <v>68</v>
      </c>
      <c r="K33" s="4">
        <v>68</v>
      </c>
      <c r="L33" s="4">
        <f>IF(AND(J33&lt;&gt;"",K33&lt;&gt;""),(J33+K33)/2,"")</f>
        <v>68</v>
      </c>
      <c r="M33" s="6">
        <f>IF(L33&lt;&gt;"",L33/33.7,"")</f>
        <v>2.0178041543026706</v>
      </c>
      <c r="N33" s="6">
        <f>IF(AND(I33&lt;&gt;"",F33&lt;&gt;""),I33/F33,"")</f>
        <v>1.935483870967742</v>
      </c>
      <c r="O33" s="2" t="s">
        <v>43</v>
      </c>
      <c r="P33" s="2" t="s">
        <v>44</v>
      </c>
      <c r="Q33" s="2"/>
      <c r="R33" s="3" t="s">
        <v>87</v>
      </c>
      <c r="S33" s="3" t="s">
        <v>88</v>
      </c>
      <c r="T33" s="2"/>
      <c r="U33" s="3"/>
      <c r="V33" s="3"/>
      <c r="W33" s="3"/>
      <c r="X33" s="3"/>
      <c r="Y33" s="3" t="str">
        <f>IF(AND(U33&lt;&gt;"",V33&lt;&gt;""),U33*V33,"")</f>
        <v/>
      </c>
      <c r="Z33" s="6"/>
      <c r="AA33" s="6"/>
      <c r="AB33" s="6"/>
      <c r="AC33" s="4"/>
      <c r="AD33" s="4"/>
      <c r="AE33" s="4"/>
      <c r="AF33" s="2"/>
    </row>
    <row r="34" spans="1:32" ht="16" x14ac:dyDescent="0.2">
      <c r="A34" s="3" t="s">
        <v>97</v>
      </c>
      <c r="B34" s="2" t="s">
        <v>98</v>
      </c>
      <c r="C34" s="3">
        <v>2025</v>
      </c>
      <c r="D34" s="3" t="s">
        <v>34</v>
      </c>
      <c r="E34" s="3" t="s">
        <v>35</v>
      </c>
      <c r="F34" s="4">
        <v>87.2</v>
      </c>
      <c r="G34" s="5">
        <v>282</v>
      </c>
      <c r="H34" s="5">
        <v>282</v>
      </c>
      <c r="I34" s="5">
        <f>IF(AND(G34&lt;&gt;"",H34&lt;&gt;""),(G34+H34)/2,"")</f>
        <v>282</v>
      </c>
      <c r="J34" s="4">
        <v>97</v>
      </c>
      <c r="K34" s="4">
        <v>97</v>
      </c>
      <c r="L34" s="4">
        <f>IF(AND(J34&lt;&gt;"",K34&lt;&gt;""),(J34+K34)/2,"")</f>
        <v>97</v>
      </c>
      <c r="M34" s="6">
        <f>IF(L34&lt;&gt;"",L34/33.7,"")</f>
        <v>2.8783382789317504</v>
      </c>
      <c r="N34" s="6">
        <f>IF(AND(I34&lt;&gt;"",F34&lt;&gt;""),I34/F34,"")</f>
        <v>3.2339449541284404</v>
      </c>
      <c r="O34" s="2" t="s">
        <v>43</v>
      </c>
      <c r="P34" s="2" t="s">
        <v>44</v>
      </c>
      <c r="Q34" s="2"/>
      <c r="R34" s="3" t="s">
        <v>262</v>
      </c>
      <c r="S34" s="3" t="s">
        <v>264</v>
      </c>
      <c r="T34" s="2"/>
      <c r="U34" s="3"/>
      <c r="V34" s="3"/>
      <c r="W34" s="3"/>
      <c r="X34" s="3"/>
      <c r="Y34" s="3" t="str">
        <f>IF(AND(U34&lt;&gt;"",V34&lt;&gt;""),U34*V34,"")</f>
        <v/>
      </c>
      <c r="Z34" s="6"/>
      <c r="AA34" s="6"/>
      <c r="AB34" s="6"/>
      <c r="AC34" s="4"/>
      <c r="AD34" s="4"/>
      <c r="AE34" s="4"/>
      <c r="AF34" s="2"/>
    </row>
    <row r="35" spans="1:32" ht="16" x14ac:dyDescent="0.2">
      <c r="A35" s="3" t="s">
        <v>97</v>
      </c>
      <c r="B35" s="2" t="s">
        <v>371</v>
      </c>
      <c r="C35" s="3">
        <v>2025</v>
      </c>
      <c r="D35" s="3" t="s">
        <v>42</v>
      </c>
      <c r="E35" s="3" t="s">
        <v>35</v>
      </c>
      <c r="F35" s="4">
        <v>77.400000000000006</v>
      </c>
      <c r="G35" s="5">
        <v>236</v>
      </c>
      <c r="H35" s="5">
        <v>236</v>
      </c>
      <c r="I35" s="5">
        <f>IF(AND(G35&lt;&gt;"",H35&lt;&gt;""),(G35+H35)/2,"")</f>
        <v>236</v>
      </c>
      <c r="J35" s="4">
        <v>91</v>
      </c>
      <c r="K35" s="4">
        <v>91</v>
      </c>
      <c r="L35" s="4">
        <f>IF(AND(J35&lt;&gt;"",K35&lt;&gt;""),(J35+K35)/2,"")</f>
        <v>91</v>
      </c>
      <c r="M35" s="6">
        <f>IF(L35&lt;&gt;"",L35/33.7,"")</f>
        <v>2.7002967359050443</v>
      </c>
      <c r="N35" s="6">
        <f>IF(AND(I35&lt;&gt;"",F35&lt;&gt;""),I35/F35,"")</f>
        <v>3.0490956072351421</v>
      </c>
      <c r="O35" s="2" t="s">
        <v>43</v>
      </c>
      <c r="P35" s="2" t="s">
        <v>44</v>
      </c>
      <c r="Q35" s="2"/>
      <c r="R35" s="3" t="s">
        <v>262</v>
      </c>
      <c r="S35" s="3" t="s">
        <v>263</v>
      </c>
      <c r="T35" s="2"/>
      <c r="U35" s="3"/>
      <c r="V35" s="3"/>
      <c r="W35" s="3"/>
      <c r="X35" s="3"/>
      <c r="Y35" s="3" t="str">
        <f>IF(AND(U35&lt;&gt;"",V35&lt;&gt;""),U35*V35,"")</f>
        <v/>
      </c>
      <c r="Z35" s="6"/>
      <c r="AA35" s="6"/>
      <c r="AB35" s="6"/>
      <c r="AC35" s="4"/>
      <c r="AD35" s="4"/>
      <c r="AE35" s="4"/>
      <c r="AF35" s="2"/>
    </row>
    <row r="36" spans="1:32" ht="112" x14ac:dyDescent="0.2">
      <c r="A36" s="3" t="s">
        <v>97</v>
      </c>
      <c r="B36" s="2" t="s">
        <v>265</v>
      </c>
      <c r="C36" s="3">
        <v>2025</v>
      </c>
      <c r="D36" s="3" t="s">
        <v>42</v>
      </c>
      <c r="E36" s="3" t="s">
        <v>35</v>
      </c>
      <c r="F36" s="4">
        <v>77.5</v>
      </c>
      <c r="G36" s="5">
        <v>235</v>
      </c>
      <c r="H36" s="5">
        <v>264</v>
      </c>
      <c r="I36" s="5">
        <f>IF(AND(G36&lt;&gt;"",H36&lt;&gt;""),(G36+H36)/2,"")</f>
        <v>249.5</v>
      </c>
      <c r="J36" s="4">
        <v>90</v>
      </c>
      <c r="K36" s="4">
        <v>100</v>
      </c>
      <c r="L36" s="4">
        <f>IF(AND(J36&lt;&gt;"",K36&lt;&gt;""),(J36+K36)/2,"")</f>
        <v>95</v>
      </c>
      <c r="M36" s="6">
        <f>IF(L36&lt;&gt;"",L36/33.7,"")</f>
        <v>2.8189910979228485</v>
      </c>
      <c r="N36" s="6">
        <f>IF(AND(I36&lt;&gt;"",F36&lt;&gt;""),I36/F36,"")</f>
        <v>3.2193548387096773</v>
      </c>
      <c r="O36" s="2" t="s">
        <v>36</v>
      </c>
      <c r="P36" s="2" t="s">
        <v>37</v>
      </c>
      <c r="Q36" s="2" t="s">
        <v>100</v>
      </c>
      <c r="R36" s="3" t="s">
        <v>262</v>
      </c>
      <c r="S36" s="3" t="s">
        <v>267</v>
      </c>
      <c r="T36" s="2"/>
      <c r="U36" s="3"/>
      <c r="V36" s="3"/>
      <c r="W36" s="3"/>
      <c r="X36" s="3"/>
      <c r="Y36" s="3" t="str">
        <f>IF(AND(U36&lt;&gt;"",V36&lt;&gt;""),U36*V36,"")</f>
        <v/>
      </c>
      <c r="Z36" s="6"/>
      <c r="AA36" s="6"/>
      <c r="AB36" s="6"/>
      <c r="AC36" s="4"/>
      <c r="AD36" s="4"/>
      <c r="AE36" s="4"/>
      <c r="AF36" s="2"/>
    </row>
    <row r="37" spans="1:32" ht="112" x14ac:dyDescent="0.2">
      <c r="A37" s="3" t="s">
        <v>97</v>
      </c>
      <c r="B37" s="2" t="s">
        <v>372</v>
      </c>
      <c r="C37" s="3">
        <v>2025</v>
      </c>
      <c r="D37" s="3" t="s">
        <v>42</v>
      </c>
      <c r="E37" s="3" t="s">
        <v>50</v>
      </c>
      <c r="F37" s="4">
        <v>77.5</v>
      </c>
      <c r="G37" s="5">
        <v>294</v>
      </c>
      <c r="H37" s="5">
        <v>294</v>
      </c>
      <c r="I37" s="5">
        <f>IF(AND(G37&lt;&gt;"",H37&lt;&gt;""),(G37+H37)/2,"")</f>
        <v>294</v>
      </c>
      <c r="J37" s="4">
        <v>112</v>
      </c>
      <c r="K37" s="4">
        <v>112</v>
      </c>
      <c r="L37" s="4">
        <f>IF(AND(J37&lt;&gt;"",K37&lt;&gt;""),(J37+K37)/2,"")</f>
        <v>112</v>
      </c>
      <c r="M37" s="6">
        <f>IF(L37&lt;&gt;"",L37/33.7,"")</f>
        <v>3.3234421364985161</v>
      </c>
      <c r="N37" s="6">
        <f>IF(AND(I37&lt;&gt;"",F37&lt;&gt;""),I37/F37,"")</f>
        <v>3.7935483870967741</v>
      </c>
      <c r="O37" s="2" t="s">
        <v>36</v>
      </c>
      <c r="P37" s="2" t="s">
        <v>37</v>
      </c>
      <c r="Q37" s="2" t="s">
        <v>100</v>
      </c>
      <c r="R37" s="3" t="s">
        <v>262</v>
      </c>
      <c r="S37" s="3" t="s">
        <v>267</v>
      </c>
      <c r="T37" s="2"/>
      <c r="U37" s="3"/>
      <c r="V37" s="3"/>
      <c r="W37" s="3"/>
      <c r="X37" s="3"/>
      <c r="Y37" s="3" t="str">
        <f>IF(AND(U37&lt;&gt;"",V37&lt;&gt;""),U37*V37,"")</f>
        <v/>
      </c>
      <c r="Z37" s="6"/>
      <c r="AA37" s="6"/>
      <c r="AB37" s="6"/>
      <c r="AC37" s="4"/>
      <c r="AD37" s="4"/>
      <c r="AE37" s="4"/>
      <c r="AF37" s="2"/>
    </row>
    <row r="38" spans="1:32" ht="16" x14ac:dyDescent="0.2">
      <c r="A38" s="3" t="s">
        <v>268</v>
      </c>
      <c r="B38" s="2" t="s">
        <v>269</v>
      </c>
      <c r="C38" s="3">
        <v>2025</v>
      </c>
      <c r="D38" s="3" t="s">
        <v>86</v>
      </c>
      <c r="E38" s="3" t="s">
        <v>35</v>
      </c>
      <c r="F38" s="4">
        <v>194.9</v>
      </c>
      <c r="G38" s="5">
        <v>289</v>
      </c>
      <c r="H38" s="5">
        <v>318</v>
      </c>
      <c r="I38" s="5">
        <f>IF(AND(G38&lt;&gt;"",H38&lt;&gt;""),(G38+H38)/2,"")</f>
        <v>303.5</v>
      </c>
      <c r="J38" s="4">
        <v>47</v>
      </c>
      <c r="K38" s="4">
        <v>53</v>
      </c>
      <c r="L38" s="4">
        <f>IF(AND(J38&lt;&gt;"",K38&lt;&gt;""),(J38+K38)/2,"")</f>
        <v>50</v>
      </c>
      <c r="M38" s="6">
        <f>IF(L38&lt;&gt;"",L38/33.7,"")</f>
        <v>1.4836795252225519</v>
      </c>
      <c r="N38" s="6">
        <f>IF(AND(I38&lt;&gt;"",F38&lt;&gt;""),I38/F38,"")</f>
        <v>1.5572088250384812</v>
      </c>
      <c r="O38" s="2" t="s">
        <v>43</v>
      </c>
      <c r="P38" s="2" t="s">
        <v>44</v>
      </c>
      <c r="Q38" s="2"/>
      <c r="R38" s="3" t="s">
        <v>135</v>
      </c>
      <c r="S38" s="3" t="s">
        <v>373</v>
      </c>
      <c r="T38" s="2"/>
      <c r="U38" s="3"/>
      <c r="V38" s="3"/>
      <c r="W38" s="3"/>
      <c r="X38" s="3"/>
      <c r="Y38" s="3" t="str">
        <f>IF(AND(U38&lt;&gt;"",V38&lt;&gt;""),U38*V38,"")</f>
        <v/>
      </c>
      <c r="Z38" s="6"/>
      <c r="AA38" s="6"/>
      <c r="AB38" s="6"/>
      <c r="AC38" s="4"/>
      <c r="AD38" s="4"/>
      <c r="AE38" s="4"/>
      <c r="AF38" s="2"/>
    </row>
    <row r="39" spans="1:32" ht="16" x14ac:dyDescent="0.2">
      <c r="A39" s="3" t="s">
        <v>268</v>
      </c>
      <c r="B39" s="2" t="s">
        <v>269</v>
      </c>
      <c r="C39" s="3">
        <v>2025</v>
      </c>
      <c r="D39" s="3" t="s">
        <v>86</v>
      </c>
      <c r="E39" s="3" t="s">
        <v>35</v>
      </c>
      <c r="F39" s="4">
        <v>194.9</v>
      </c>
      <c r="G39" s="5">
        <v>312</v>
      </c>
      <c r="H39" s="5">
        <v>312</v>
      </c>
      <c r="I39" s="5">
        <f>IF(AND(G39&lt;&gt;"",H39&lt;&gt;""),(G39+H39)/2,"")</f>
        <v>312</v>
      </c>
      <c r="J39" s="4">
        <v>52</v>
      </c>
      <c r="K39" s="4">
        <v>52</v>
      </c>
      <c r="L39" s="4">
        <f>IF(AND(J39&lt;&gt;"",K39&lt;&gt;""),(J39+K39)/2,"")</f>
        <v>52</v>
      </c>
      <c r="M39" s="6">
        <f>IF(L39&lt;&gt;"",L39/33.7,"")</f>
        <v>1.5430267062314538</v>
      </c>
      <c r="N39" s="6">
        <f>IF(AND(I39&lt;&gt;"",F39&lt;&gt;""),I39/F39,"")</f>
        <v>1.6008209338122112</v>
      </c>
      <c r="O39" s="2" t="s">
        <v>43</v>
      </c>
      <c r="P39" s="2" t="s">
        <v>44</v>
      </c>
      <c r="Q39" s="2"/>
      <c r="R39" s="3" t="s">
        <v>135</v>
      </c>
      <c r="S39" s="3" t="s">
        <v>373</v>
      </c>
      <c r="T39" s="2"/>
      <c r="U39" s="3"/>
      <c r="V39" s="3"/>
      <c r="W39" s="3"/>
      <c r="X39" s="3"/>
      <c r="Y39" s="3" t="str">
        <f>IF(AND(U39&lt;&gt;"",V39&lt;&gt;""),U39*V39,"")</f>
        <v/>
      </c>
      <c r="Z39" s="6"/>
      <c r="AA39" s="6"/>
      <c r="AB39" s="6"/>
      <c r="AC39" s="4"/>
      <c r="AD39" s="4"/>
      <c r="AE39" s="4"/>
      <c r="AF39" s="2"/>
    </row>
    <row r="40" spans="1:32" ht="16" x14ac:dyDescent="0.2">
      <c r="A40" s="3" t="s">
        <v>268</v>
      </c>
      <c r="B40" s="2" t="s">
        <v>270</v>
      </c>
      <c r="C40" s="3">
        <v>2025</v>
      </c>
      <c r="D40" s="3" t="s">
        <v>42</v>
      </c>
      <c r="E40" s="3" t="s">
        <v>35</v>
      </c>
      <c r="F40" s="4">
        <v>194.9</v>
      </c>
      <c r="G40" s="5">
        <v>289</v>
      </c>
      <c r="H40" s="5">
        <v>312</v>
      </c>
      <c r="I40" s="5">
        <f>IF(AND(G40&lt;&gt;"",H40&lt;&gt;""),(G40+H40)/2,"")</f>
        <v>300.5</v>
      </c>
      <c r="J40" s="4">
        <v>48</v>
      </c>
      <c r="K40" s="4">
        <v>52</v>
      </c>
      <c r="L40" s="4">
        <f>IF(AND(J40&lt;&gt;"",K40&lt;&gt;""),(J40+K40)/2,"")</f>
        <v>50</v>
      </c>
      <c r="M40" s="6">
        <f>IF(L40&lt;&gt;"",L40/33.7,"")</f>
        <v>1.4836795252225519</v>
      </c>
      <c r="N40" s="6">
        <f>IF(AND(I40&lt;&gt;"",F40&lt;&gt;""),I40/F40,"")</f>
        <v>1.5418163160595177</v>
      </c>
      <c r="O40" s="2" t="s">
        <v>43</v>
      </c>
      <c r="P40" s="2" t="s">
        <v>44</v>
      </c>
      <c r="Q40" s="2"/>
      <c r="R40" s="3" t="s">
        <v>135</v>
      </c>
      <c r="S40" s="3" t="s">
        <v>374</v>
      </c>
      <c r="T40" s="2"/>
      <c r="U40" s="3"/>
      <c r="V40" s="3"/>
      <c r="W40" s="3"/>
      <c r="X40" s="3"/>
      <c r="Y40" s="3" t="str">
        <f>IF(AND(U40&lt;&gt;"",V40&lt;&gt;""),U40*V40,"")</f>
        <v/>
      </c>
      <c r="Z40" s="6"/>
      <c r="AA40" s="6"/>
      <c r="AB40" s="6"/>
      <c r="AC40" s="4"/>
      <c r="AD40" s="4"/>
      <c r="AE40" s="4"/>
      <c r="AF40" s="2"/>
    </row>
    <row r="41" spans="1:32" ht="16" x14ac:dyDescent="0.2">
      <c r="A41" s="3" t="s">
        <v>268</v>
      </c>
      <c r="B41" s="2" t="s">
        <v>270</v>
      </c>
      <c r="C41" s="3">
        <v>2025</v>
      </c>
      <c r="D41" s="3" t="s">
        <v>42</v>
      </c>
      <c r="E41" s="3" t="s">
        <v>35</v>
      </c>
      <c r="F41" s="4">
        <v>194.9</v>
      </c>
      <c r="G41" s="5">
        <v>282</v>
      </c>
      <c r="H41" s="5">
        <v>315</v>
      </c>
      <c r="I41" s="5">
        <f>IF(AND(G41&lt;&gt;"",H41&lt;&gt;""),(G41+H41)/2,"")</f>
        <v>298.5</v>
      </c>
      <c r="J41" s="4">
        <v>47</v>
      </c>
      <c r="K41" s="4">
        <v>53</v>
      </c>
      <c r="L41" s="4">
        <f>IF(AND(J41&lt;&gt;"",K41&lt;&gt;""),(J41+K41)/2,"")</f>
        <v>50</v>
      </c>
      <c r="M41" s="6">
        <f>IF(L41&lt;&gt;"",L41/33.7,"")</f>
        <v>1.4836795252225519</v>
      </c>
      <c r="N41" s="6">
        <f>IF(AND(I41&lt;&gt;"",F41&lt;&gt;""),I41/F41,"")</f>
        <v>1.5315546434068752</v>
      </c>
      <c r="O41" s="2" t="s">
        <v>43</v>
      </c>
      <c r="P41" s="2" t="s">
        <v>44</v>
      </c>
      <c r="Q41" s="2"/>
      <c r="R41" s="3" t="s">
        <v>135</v>
      </c>
      <c r="S41" s="3" t="s">
        <v>374</v>
      </c>
      <c r="T41" s="2"/>
      <c r="U41" s="3"/>
      <c r="V41" s="3"/>
      <c r="W41" s="3"/>
      <c r="X41" s="3"/>
      <c r="Y41" s="3" t="str">
        <f>IF(AND(U41&lt;&gt;"",V41&lt;&gt;""),U41*V41,"")</f>
        <v/>
      </c>
      <c r="Z41" s="6"/>
      <c r="AA41" s="6"/>
      <c r="AB41" s="6"/>
      <c r="AC41" s="4"/>
      <c r="AD41" s="4"/>
      <c r="AE41" s="4"/>
      <c r="AF41" s="2"/>
    </row>
    <row r="42" spans="1:32" ht="16" x14ac:dyDescent="0.2">
      <c r="A42" s="3" t="s">
        <v>268</v>
      </c>
      <c r="B42" s="2" t="s">
        <v>375</v>
      </c>
      <c r="C42" s="3">
        <v>2025</v>
      </c>
      <c r="D42" s="3" t="s">
        <v>86</v>
      </c>
      <c r="E42" s="3" t="s">
        <v>111</v>
      </c>
      <c r="F42" s="4">
        <v>136.30000000000001</v>
      </c>
      <c r="G42" s="5">
        <v>390</v>
      </c>
      <c r="H42" s="5">
        <v>390</v>
      </c>
      <c r="I42" s="5">
        <f>IF(AND(G42&lt;&gt;"",H42&lt;&gt;""),(G42+H42)/2,"")</f>
        <v>390</v>
      </c>
      <c r="J42" s="4">
        <v>64</v>
      </c>
      <c r="K42" s="4">
        <v>64</v>
      </c>
      <c r="L42" s="4">
        <f>IF(AND(J42&lt;&gt;"",K42&lt;&gt;""),(J42+K42)/2,"")</f>
        <v>64</v>
      </c>
      <c r="M42" s="6">
        <f>IF(L42&lt;&gt;"",L42/33.7,"")</f>
        <v>1.8991097922848663</v>
      </c>
      <c r="N42" s="6">
        <f>IF(AND(I42&lt;&gt;"",F42&lt;&gt;""),I42/F42,"")</f>
        <v>2.8613352898019073</v>
      </c>
      <c r="O42" s="2" t="s">
        <v>43</v>
      </c>
      <c r="P42" s="2" t="s">
        <v>44</v>
      </c>
      <c r="Q42" s="2"/>
      <c r="R42" s="3" t="s">
        <v>365</v>
      </c>
      <c r="S42" s="3" t="s">
        <v>366</v>
      </c>
      <c r="T42" s="2"/>
      <c r="U42" s="3"/>
      <c r="V42" s="3"/>
      <c r="W42" s="3"/>
      <c r="X42" s="3"/>
      <c r="Y42" s="3" t="str">
        <f>IF(AND(U42&lt;&gt;"",V42&lt;&gt;""),U42*V42,"")</f>
        <v/>
      </c>
      <c r="Z42" s="6"/>
      <c r="AA42" s="6"/>
      <c r="AB42" s="6"/>
      <c r="AC42" s="4"/>
      <c r="AD42" s="4"/>
      <c r="AE42" s="4"/>
      <c r="AF42" s="2"/>
    </row>
    <row r="43" spans="1:32" ht="112" x14ac:dyDescent="0.2">
      <c r="A43" s="3" t="s">
        <v>102</v>
      </c>
      <c r="B43" s="2" t="s">
        <v>376</v>
      </c>
      <c r="C43" s="3">
        <v>2025</v>
      </c>
      <c r="D43" s="3" t="s">
        <v>42</v>
      </c>
      <c r="E43" s="3" t="s">
        <v>111</v>
      </c>
      <c r="F43" s="4">
        <v>84.1</v>
      </c>
      <c r="G43" s="5">
        <v>259</v>
      </c>
      <c r="H43" s="5">
        <v>290</v>
      </c>
      <c r="I43" s="5">
        <f>IF(AND(G43&lt;&gt;"",H43&lt;&gt;""),(G43+H43)/2,"")</f>
        <v>274.5</v>
      </c>
      <c r="J43" s="4">
        <v>94</v>
      </c>
      <c r="K43" s="4">
        <v>106</v>
      </c>
      <c r="L43" s="4">
        <f>IF(AND(J43&lt;&gt;"",K43&lt;&gt;""),(J43+K43)/2,"")</f>
        <v>100</v>
      </c>
      <c r="M43" s="6">
        <f>IF(L43&lt;&gt;"",L43/33.7,"")</f>
        <v>2.9673590504451037</v>
      </c>
      <c r="N43" s="6">
        <f>IF(AND(I43&lt;&gt;"",F43&lt;&gt;""),I43/F43,"")</f>
        <v>3.2639714625445899</v>
      </c>
      <c r="O43" s="2" t="s">
        <v>36</v>
      </c>
      <c r="P43" s="2" t="s">
        <v>37</v>
      </c>
      <c r="Q43" s="2" t="s">
        <v>100</v>
      </c>
      <c r="R43" s="3" t="s">
        <v>275</v>
      </c>
      <c r="S43" s="3" t="s">
        <v>276</v>
      </c>
      <c r="T43" s="2"/>
      <c r="U43" s="3"/>
      <c r="V43" s="3"/>
      <c r="W43" s="3"/>
      <c r="X43" s="3"/>
      <c r="Y43" s="3" t="str">
        <f>IF(AND(U43&lt;&gt;"",V43&lt;&gt;""),U43*V43,"")</f>
        <v/>
      </c>
      <c r="Z43" s="6"/>
      <c r="AA43" s="6"/>
      <c r="AB43" s="6"/>
      <c r="AC43" s="4"/>
      <c r="AD43" s="4"/>
      <c r="AE43" s="4"/>
      <c r="AF43" s="2"/>
    </row>
    <row r="44" spans="1:32" ht="112" x14ac:dyDescent="0.2">
      <c r="A44" s="3" t="s">
        <v>102</v>
      </c>
      <c r="B44" s="2" t="s">
        <v>377</v>
      </c>
      <c r="C44" s="3">
        <v>2025</v>
      </c>
      <c r="D44" s="3" t="s">
        <v>42</v>
      </c>
      <c r="E44" s="3" t="s">
        <v>35</v>
      </c>
      <c r="F44" s="4">
        <v>84.1</v>
      </c>
      <c r="G44" s="5">
        <v>221</v>
      </c>
      <c r="H44" s="5">
        <v>221</v>
      </c>
      <c r="I44" s="5">
        <f>IF(AND(G44&lt;&gt;"",H44&lt;&gt;""),(G44+H44)/2,"")</f>
        <v>221</v>
      </c>
      <c r="J44" s="4">
        <v>78</v>
      </c>
      <c r="K44" s="4">
        <v>78</v>
      </c>
      <c r="L44" s="4">
        <f>IF(AND(J44&lt;&gt;"",K44&lt;&gt;""),(J44+K44)/2,"")</f>
        <v>78</v>
      </c>
      <c r="M44" s="6">
        <f>IF(L44&lt;&gt;"",L44/33.7,"")</f>
        <v>2.314540059347181</v>
      </c>
      <c r="N44" s="6">
        <f>IF(AND(I44&lt;&gt;"",F44&lt;&gt;""),I44/F44,"")</f>
        <v>2.6278240190249704</v>
      </c>
      <c r="O44" s="2" t="s">
        <v>36</v>
      </c>
      <c r="P44" s="2" t="s">
        <v>37</v>
      </c>
      <c r="Q44" s="2" t="s">
        <v>100</v>
      </c>
      <c r="R44" s="3" t="s">
        <v>275</v>
      </c>
      <c r="S44" s="3" t="s">
        <v>276</v>
      </c>
      <c r="T44" s="2"/>
      <c r="U44" s="3"/>
      <c r="V44" s="3"/>
      <c r="W44" s="3"/>
      <c r="X44" s="3"/>
      <c r="Y44" s="3" t="str">
        <f>IF(AND(U44&lt;&gt;"",V44&lt;&gt;""),U44*V44,"")</f>
        <v/>
      </c>
      <c r="Z44" s="6"/>
      <c r="AA44" s="6"/>
      <c r="AB44" s="6"/>
      <c r="AC44" s="4"/>
      <c r="AD44" s="4"/>
      <c r="AE44" s="4"/>
      <c r="AF44" s="2"/>
    </row>
    <row r="45" spans="1:32" ht="112" x14ac:dyDescent="0.2">
      <c r="A45" s="3" t="s">
        <v>102</v>
      </c>
      <c r="B45" s="2" t="s">
        <v>378</v>
      </c>
      <c r="C45" s="3">
        <v>2025</v>
      </c>
      <c r="D45" s="3" t="s">
        <v>42</v>
      </c>
      <c r="E45" s="3" t="s">
        <v>50</v>
      </c>
      <c r="F45" s="4">
        <v>84.1</v>
      </c>
      <c r="G45" s="5">
        <v>318</v>
      </c>
      <c r="H45" s="5">
        <v>318</v>
      </c>
      <c r="I45" s="5">
        <f>IF(AND(G45&lt;&gt;"",H45&lt;&gt;""),(G45+H45)/2,"")</f>
        <v>318</v>
      </c>
      <c r="J45" s="4">
        <v>114</v>
      </c>
      <c r="K45" s="4">
        <v>114</v>
      </c>
      <c r="L45" s="4">
        <f>IF(AND(J45&lt;&gt;"",K45&lt;&gt;""),(J45+K45)/2,"")</f>
        <v>114</v>
      </c>
      <c r="M45" s="6">
        <f>IF(L45&lt;&gt;"",L45/33.7,"")</f>
        <v>3.382789317507418</v>
      </c>
      <c r="N45" s="6">
        <f>IF(AND(I45&lt;&gt;"",F45&lt;&gt;""),I45/F45,"")</f>
        <v>3.7812128418549347</v>
      </c>
      <c r="O45" s="2" t="s">
        <v>36</v>
      </c>
      <c r="P45" s="2" t="s">
        <v>37</v>
      </c>
      <c r="Q45" s="2" t="s">
        <v>100</v>
      </c>
      <c r="R45" s="3" t="s">
        <v>275</v>
      </c>
      <c r="S45" s="3" t="s">
        <v>276</v>
      </c>
      <c r="T45" s="2"/>
      <c r="U45" s="3"/>
      <c r="V45" s="3"/>
      <c r="W45" s="3"/>
      <c r="X45" s="3"/>
      <c r="Y45" s="3" t="str">
        <f>IF(AND(U45&lt;&gt;"",V45&lt;&gt;""),U45*V45,"")</f>
        <v/>
      </c>
      <c r="Z45" s="6"/>
      <c r="AA45" s="6"/>
      <c r="AB45" s="6"/>
      <c r="AC45" s="4"/>
      <c r="AD45" s="4"/>
      <c r="AE45" s="4"/>
      <c r="AF45" s="2"/>
    </row>
    <row r="46" spans="1:32" ht="112" x14ac:dyDescent="0.2">
      <c r="A46" s="3" t="s">
        <v>102</v>
      </c>
      <c r="B46" s="2" t="s">
        <v>379</v>
      </c>
      <c r="C46" s="3">
        <v>2025</v>
      </c>
      <c r="D46" s="3" t="s">
        <v>42</v>
      </c>
      <c r="E46" s="3" t="s">
        <v>50</v>
      </c>
      <c r="F46" s="4">
        <v>63.1</v>
      </c>
      <c r="G46" s="5">
        <v>245</v>
      </c>
      <c r="H46" s="5">
        <v>245</v>
      </c>
      <c r="I46" s="5">
        <f>IF(AND(G46&lt;&gt;"",H46&lt;&gt;""),(G46+H46)/2,"")</f>
        <v>245</v>
      </c>
      <c r="J46" s="4">
        <v>115</v>
      </c>
      <c r="K46" s="4">
        <v>115</v>
      </c>
      <c r="L46" s="4">
        <f>IF(AND(J46&lt;&gt;"",K46&lt;&gt;""),(J46+K46)/2,"")</f>
        <v>115</v>
      </c>
      <c r="M46" s="6">
        <f>IF(L46&lt;&gt;"",L46/33.7,"")</f>
        <v>3.4124629080118694</v>
      </c>
      <c r="N46" s="6">
        <f>IF(AND(I46&lt;&gt;"",F46&lt;&gt;""),I46/F46,"")</f>
        <v>3.8827258320126781</v>
      </c>
      <c r="O46" s="2" t="s">
        <v>36</v>
      </c>
      <c r="P46" s="2" t="s">
        <v>37</v>
      </c>
      <c r="Q46" s="2" t="s">
        <v>100</v>
      </c>
      <c r="R46" s="3" t="s">
        <v>275</v>
      </c>
      <c r="S46" s="3" t="s">
        <v>276</v>
      </c>
      <c r="T46" s="2"/>
      <c r="U46" s="3"/>
      <c r="V46" s="3"/>
      <c r="W46" s="3"/>
      <c r="X46" s="3"/>
      <c r="Y46" s="3" t="str">
        <f>IF(AND(U46&lt;&gt;"",V46&lt;&gt;""),U46*V46,"")</f>
        <v/>
      </c>
      <c r="Z46" s="6"/>
      <c r="AA46" s="6"/>
      <c r="AB46" s="6"/>
      <c r="AC46" s="4"/>
      <c r="AD46" s="4"/>
      <c r="AE46" s="4"/>
      <c r="AF46" s="2"/>
    </row>
    <row r="47" spans="1:32" ht="112" x14ac:dyDescent="0.2">
      <c r="A47" s="3" t="s">
        <v>102</v>
      </c>
      <c r="B47" s="2" t="s">
        <v>380</v>
      </c>
      <c r="C47" s="3">
        <v>2025</v>
      </c>
      <c r="D47" s="3" t="s">
        <v>34</v>
      </c>
      <c r="E47" s="3" t="s">
        <v>35</v>
      </c>
      <c r="F47" s="4">
        <v>77.400000000000006</v>
      </c>
      <c r="G47" s="5">
        <v>270</v>
      </c>
      <c r="H47" s="5">
        <v>316</v>
      </c>
      <c r="I47" s="5">
        <f>IF(AND(G47&lt;&gt;"",H47&lt;&gt;""),(G47+H47)/2,"")</f>
        <v>293</v>
      </c>
      <c r="J47" s="4">
        <v>103</v>
      </c>
      <c r="K47" s="4">
        <v>121</v>
      </c>
      <c r="L47" s="4">
        <f>IF(AND(J47&lt;&gt;"",K47&lt;&gt;""),(J47+K47)/2,"")</f>
        <v>112</v>
      </c>
      <c r="M47" s="6">
        <f>IF(L47&lt;&gt;"",L47/33.7,"")</f>
        <v>3.3234421364985161</v>
      </c>
      <c r="N47" s="6">
        <f>IF(AND(I47&lt;&gt;"",F47&lt;&gt;""),I47/F47,"")</f>
        <v>3.7855297157622738</v>
      </c>
      <c r="O47" s="2" t="s">
        <v>36</v>
      </c>
      <c r="P47" s="2" t="s">
        <v>37</v>
      </c>
      <c r="Q47" s="2" t="s">
        <v>100</v>
      </c>
      <c r="R47" s="3" t="s">
        <v>381</v>
      </c>
      <c r="S47" s="3" t="s">
        <v>382</v>
      </c>
      <c r="T47" s="2"/>
      <c r="U47" s="3"/>
      <c r="V47" s="3"/>
      <c r="W47" s="3"/>
      <c r="X47" s="3"/>
      <c r="Y47" s="3" t="str">
        <f>IF(AND(U47&lt;&gt;"",V47&lt;&gt;""),U47*V47,"")</f>
        <v/>
      </c>
      <c r="Z47" s="6"/>
      <c r="AA47" s="6"/>
      <c r="AB47" s="6"/>
      <c r="AC47" s="4"/>
      <c r="AD47" s="4"/>
      <c r="AE47" s="4"/>
      <c r="AF47" s="2"/>
    </row>
    <row r="48" spans="1:32" ht="112" x14ac:dyDescent="0.2">
      <c r="A48" s="3" t="s">
        <v>102</v>
      </c>
      <c r="B48" s="2" t="s">
        <v>383</v>
      </c>
      <c r="C48" s="3">
        <v>2025</v>
      </c>
      <c r="D48" s="3" t="s">
        <v>34</v>
      </c>
      <c r="E48" s="3" t="s">
        <v>50</v>
      </c>
      <c r="F48" s="4">
        <v>77.400000000000006</v>
      </c>
      <c r="G48" s="5">
        <v>291</v>
      </c>
      <c r="H48" s="5">
        <v>342</v>
      </c>
      <c r="I48" s="5">
        <f>IF(AND(G48&lt;&gt;"",H48&lt;&gt;""),(G48+H48)/2,"")</f>
        <v>316.5</v>
      </c>
      <c r="J48" s="4">
        <v>111</v>
      </c>
      <c r="K48" s="4">
        <v>132</v>
      </c>
      <c r="L48" s="4">
        <f>IF(AND(J48&lt;&gt;"",K48&lt;&gt;""),(J48+K48)/2,"")</f>
        <v>121.5</v>
      </c>
      <c r="M48" s="6">
        <f>IF(L48&lt;&gt;"",L48/33.7,"")</f>
        <v>3.6053412462908008</v>
      </c>
      <c r="N48" s="6">
        <f>IF(AND(I48&lt;&gt;"",F48&lt;&gt;""),I48/F48,"")</f>
        <v>4.0891472868217047</v>
      </c>
      <c r="O48" s="2" t="s">
        <v>36</v>
      </c>
      <c r="P48" s="2" t="s">
        <v>37</v>
      </c>
      <c r="Q48" s="2" t="s">
        <v>100</v>
      </c>
      <c r="R48" s="3" t="s">
        <v>381</v>
      </c>
      <c r="S48" s="3" t="s">
        <v>382</v>
      </c>
      <c r="T48" s="2"/>
      <c r="U48" s="3"/>
      <c r="V48" s="3"/>
      <c r="W48" s="3"/>
      <c r="X48" s="3"/>
      <c r="Y48" s="3" t="str">
        <f>IF(AND(U48&lt;&gt;"",V48&lt;&gt;""),U48*V48,"")</f>
        <v/>
      </c>
      <c r="Z48" s="6"/>
      <c r="AA48" s="6"/>
      <c r="AB48" s="6"/>
      <c r="AC48" s="4"/>
      <c r="AD48" s="4"/>
      <c r="AE48" s="4"/>
      <c r="AF48" s="2"/>
    </row>
    <row r="49" spans="1:32" ht="112" x14ac:dyDescent="0.2">
      <c r="A49" s="3" t="s">
        <v>102</v>
      </c>
      <c r="B49" s="2" t="s">
        <v>384</v>
      </c>
      <c r="C49" s="3">
        <v>2025</v>
      </c>
      <c r="D49" s="3" t="s">
        <v>34</v>
      </c>
      <c r="E49" s="3" t="s">
        <v>50</v>
      </c>
      <c r="F49" s="4">
        <v>53.3</v>
      </c>
      <c r="G49" s="5">
        <v>240</v>
      </c>
      <c r="H49" s="5">
        <v>240</v>
      </c>
      <c r="I49" s="5">
        <f>IF(AND(G49&lt;&gt;"",H49&lt;&gt;""),(G49+H49)/2,"")</f>
        <v>240</v>
      </c>
      <c r="J49" s="4">
        <v>135</v>
      </c>
      <c r="K49" s="4">
        <v>135</v>
      </c>
      <c r="L49" s="4">
        <f>IF(AND(J49&lt;&gt;"",K49&lt;&gt;""),(J49+K49)/2,"")</f>
        <v>135</v>
      </c>
      <c r="M49" s="6">
        <f>IF(L49&lt;&gt;"",L49/33.7,"")</f>
        <v>4.0059347181008897</v>
      </c>
      <c r="N49" s="6">
        <f>IF(AND(I49&lt;&gt;"",F49&lt;&gt;""),I49/F49,"")</f>
        <v>4.5028142589118199</v>
      </c>
      <c r="O49" s="2" t="s">
        <v>36</v>
      </c>
      <c r="P49" s="2" t="s">
        <v>37</v>
      </c>
      <c r="Q49" s="2" t="s">
        <v>100</v>
      </c>
      <c r="R49" s="3" t="s">
        <v>381</v>
      </c>
      <c r="S49" s="3" t="s">
        <v>382</v>
      </c>
      <c r="T49" s="2"/>
      <c r="U49" s="3"/>
      <c r="V49" s="3"/>
      <c r="W49" s="3"/>
      <c r="X49" s="3"/>
      <c r="Y49" s="3" t="str">
        <f>IF(AND(U49&lt;&gt;"",V49&lt;&gt;""),U49*V49,"")</f>
        <v/>
      </c>
      <c r="Z49" s="6"/>
      <c r="AA49" s="6"/>
      <c r="AB49" s="6"/>
      <c r="AC49" s="4"/>
      <c r="AD49" s="4"/>
      <c r="AE49" s="4"/>
      <c r="AF49" s="2"/>
    </row>
    <row r="50" spans="1:32" ht="16" x14ac:dyDescent="0.2">
      <c r="A50" s="3" t="s">
        <v>102</v>
      </c>
      <c r="B50" s="2" t="s">
        <v>106</v>
      </c>
      <c r="C50" s="3">
        <v>2025</v>
      </c>
      <c r="D50" s="3" t="s">
        <v>42</v>
      </c>
      <c r="E50" s="3" t="s">
        <v>74</v>
      </c>
      <c r="F50" s="4">
        <v>64.8</v>
      </c>
      <c r="G50" s="5">
        <v>230</v>
      </c>
      <c r="H50" s="5">
        <v>261</v>
      </c>
      <c r="I50" s="5">
        <f>IF(AND(G50&lt;&gt;"",H50&lt;&gt;""),(G50+H50)/2,"")</f>
        <v>245.5</v>
      </c>
      <c r="J50" s="4">
        <v>103</v>
      </c>
      <c r="K50" s="4">
        <v>116</v>
      </c>
      <c r="L50" s="4">
        <f>IF(AND(J50&lt;&gt;"",K50&lt;&gt;""),(J50+K50)/2,"")</f>
        <v>109.5</v>
      </c>
      <c r="M50" s="6">
        <f>IF(L50&lt;&gt;"",L50/33.7,"")</f>
        <v>3.2492581602373884</v>
      </c>
      <c r="N50" s="6">
        <f>IF(AND(I50&lt;&gt;"",F50&lt;&gt;""),I50/F50,"")</f>
        <v>3.7885802469135803</v>
      </c>
      <c r="O50" s="2" t="s">
        <v>43</v>
      </c>
      <c r="P50" s="2" t="s">
        <v>44</v>
      </c>
      <c r="Q50" s="2"/>
      <c r="R50" s="3" t="s">
        <v>279</v>
      </c>
      <c r="S50" s="3" t="s">
        <v>280</v>
      </c>
      <c r="T50" s="2"/>
      <c r="U50" s="3"/>
      <c r="V50" s="3"/>
      <c r="W50" s="3"/>
      <c r="X50" s="3"/>
      <c r="Y50" s="3" t="str">
        <f>IF(AND(U50&lt;&gt;"",V50&lt;&gt;""),U50*V50,"")</f>
        <v/>
      </c>
      <c r="Z50" s="6"/>
      <c r="AA50" s="6"/>
      <c r="AB50" s="6"/>
      <c r="AC50" s="4"/>
      <c r="AD50" s="4"/>
      <c r="AE50" s="4"/>
      <c r="AF50" s="2"/>
    </row>
    <row r="51" spans="1:32" ht="16" x14ac:dyDescent="0.2">
      <c r="A51" s="3" t="s">
        <v>102</v>
      </c>
      <c r="B51" s="2" t="s">
        <v>385</v>
      </c>
      <c r="C51" s="3">
        <v>2025</v>
      </c>
      <c r="D51" s="3" t="s">
        <v>42</v>
      </c>
      <c r="E51" s="3" t="s">
        <v>74</v>
      </c>
      <c r="F51" s="4">
        <v>48.5</v>
      </c>
      <c r="G51" s="5">
        <v>200</v>
      </c>
      <c r="H51" s="5">
        <v>200</v>
      </c>
      <c r="I51" s="5">
        <f>IF(AND(G51&lt;&gt;"",H51&lt;&gt;""),(G51+H51)/2,"")</f>
        <v>200</v>
      </c>
      <c r="J51" s="4">
        <v>118</v>
      </c>
      <c r="K51" s="4">
        <v>118</v>
      </c>
      <c r="L51" s="4">
        <f>IF(AND(J51&lt;&gt;"",K51&lt;&gt;""),(J51+K51)/2,"")</f>
        <v>118</v>
      </c>
      <c r="M51" s="6">
        <f>IF(L51&lt;&gt;"",L51/33.7,"")</f>
        <v>3.5014836795252222</v>
      </c>
      <c r="N51" s="6">
        <f>IF(AND(I51&lt;&gt;"",F51&lt;&gt;""),I51/F51,"")</f>
        <v>4.1237113402061851</v>
      </c>
      <c r="O51" s="2" t="s">
        <v>43</v>
      </c>
      <c r="P51" s="2" t="s">
        <v>44</v>
      </c>
      <c r="Q51" s="2"/>
      <c r="R51" s="3" t="s">
        <v>279</v>
      </c>
      <c r="S51" s="3" t="s">
        <v>280</v>
      </c>
      <c r="T51" s="2"/>
      <c r="U51" s="3"/>
      <c r="V51" s="3"/>
      <c r="W51" s="3"/>
      <c r="X51" s="3"/>
      <c r="Y51" s="3" t="str">
        <f>IF(AND(U51&lt;&gt;"",V51&lt;&gt;""),U51*V51,"")</f>
        <v/>
      </c>
      <c r="Z51" s="6"/>
      <c r="AA51" s="6"/>
      <c r="AB51" s="6"/>
      <c r="AC51" s="4"/>
      <c r="AD51" s="4"/>
      <c r="AE51" s="4"/>
      <c r="AF51" s="2"/>
    </row>
    <row r="52" spans="1:32" ht="112" x14ac:dyDescent="0.2">
      <c r="A52" s="3" t="s">
        <v>114</v>
      </c>
      <c r="B52" s="2" t="s">
        <v>285</v>
      </c>
      <c r="C52" s="3">
        <v>2025</v>
      </c>
      <c r="D52" s="3" t="s">
        <v>42</v>
      </c>
      <c r="E52" s="3" t="s">
        <v>35</v>
      </c>
      <c r="F52" s="4">
        <v>99.9</v>
      </c>
      <c r="G52" s="5">
        <v>270</v>
      </c>
      <c r="H52" s="5">
        <v>280</v>
      </c>
      <c r="I52" s="5">
        <f>IF(AND(G52&lt;&gt;"",H52&lt;&gt;""),(G52+H52)/2,"")</f>
        <v>275</v>
      </c>
      <c r="J52" s="4">
        <v>80</v>
      </c>
      <c r="K52" s="4">
        <v>83</v>
      </c>
      <c r="L52" s="4">
        <f>IF(AND(J52&lt;&gt;"",K52&lt;&gt;""),(J52+K52)/2,"")</f>
        <v>81.5</v>
      </c>
      <c r="M52" s="6">
        <f>IF(L52&lt;&gt;"",L52/33.7,"")</f>
        <v>2.4183976261127595</v>
      </c>
      <c r="N52" s="6">
        <f>IF(AND(I52&lt;&gt;"",F52&lt;&gt;""),I52/F52,"")</f>
        <v>2.7527527527527527</v>
      </c>
      <c r="O52" s="2" t="s">
        <v>36</v>
      </c>
      <c r="P52" s="2" t="s">
        <v>37</v>
      </c>
      <c r="Q52" s="2" t="s">
        <v>100</v>
      </c>
      <c r="R52" s="3" t="s">
        <v>116</v>
      </c>
      <c r="S52" s="3" t="s">
        <v>386</v>
      </c>
      <c r="T52" s="2"/>
      <c r="U52" s="3"/>
      <c r="V52" s="3"/>
      <c r="W52" s="3"/>
      <c r="X52" s="3"/>
      <c r="Y52" s="3" t="str">
        <f>IF(AND(U52&lt;&gt;"",V52&lt;&gt;""),U52*V52,"")</f>
        <v/>
      </c>
      <c r="Z52" s="6"/>
      <c r="AA52" s="6"/>
      <c r="AB52" s="6"/>
      <c r="AC52" s="4"/>
      <c r="AD52" s="4"/>
      <c r="AE52" s="4"/>
      <c r="AF52" s="2"/>
    </row>
    <row r="53" spans="1:32" ht="112" x14ac:dyDescent="0.2">
      <c r="A53" s="3" t="s">
        <v>114</v>
      </c>
      <c r="B53" s="2" t="s">
        <v>286</v>
      </c>
      <c r="C53" s="3">
        <v>2025</v>
      </c>
      <c r="D53" s="3" t="s">
        <v>42</v>
      </c>
      <c r="E53" s="3" t="s">
        <v>50</v>
      </c>
      <c r="F53" s="4">
        <v>99.9</v>
      </c>
      <c r="G53" s="5">
        <v>304</v>
      </c>
      <c r="H53" s="5">
        <v>304</v>
      </c>
      <c r="I53" s="5">
        <f>IF(AND(G53&lt;&gt;"",H53&lt;&gt;""),(G53+H53)/2,"")</f>
        <v>304</v>
      </c>
      <c r="J53" s="4">
        <v>89</v>
      </c>
      <c r="K53" s="4">
        <v>89</v>
      </c>
      <c r="L53" s="4">
        <f>IF(AND(J53&lt;&gt;"",K53&lt;&gt;""),(J53+K53)/2,"")</f>
        <v>89</v>
      </c>
      <c r="M53" s="6">
        <f>IF(L53&lt;&gt;"",L53/33.7,"")</f>
        <v>2.6409495548961424</v>
      </c>
      <c r="N53" s="6">
        <f>IF(AND(I53&lt;&gt;"",F53&lt;&gt;""),I53/F53,"")</f>
        <v>3.0430430430430429</v>
      </c>
      <c r="O53" s="2" t="s">
        <v>36</v>
      </c>
      <c r="P53" s="2" t="s">
        <v>37</v>
      </c>
      <c r="Q53" s="2" t="s">
        <v>100</v>
      </c>
      <c r="R53" s="3" t="s">
        <v>116</v>
      </c>
      <c r="S53" s="3" t="s">
        <v>386</v>
      </c>
      <c r="T53" s="2"/>
      <c r="U53" s="3"/>
      <c r="V53" s="3"/>
      <c r="W53" s="3"/>
      <c r="X53" s="3"/>
      <c r="Y53" s="3" t="str">
        <f>IF(AND(U53&lt;&gt;"",V53&lt;&gt;""),U53*V53,"")</f>
        <v/>
      </c>
      <c r="Z53" s="6"/>
      <c r="AA53" s="6"/>
      <c r="AB53" s="6"/>
      <c r="AC53" s="4"/>
      <c r="AD53" s="4"/>
      <c r="AE53" s="4"/>
      <c r="AF53" s="2"/>
    </row>
    <row r="54" spans="1:32" ht="112" x14ac:dyDescent="0.2">
      <c r="A54" s="3" t="s">
        <v>114</v>
      </c>
      <c r="B54" s="2" t="s">
        <v>287</v>
      </c>
      <c r="C54" s="3">
        <v>2025</v>
      </c>
      <c r="D54" s="3" t="s">
        <v>42</v>
      </c>
      <c r="E54" s="3" t="s">
        <v>50</v>
      </c>
      <c r="F54" s="4">
        <v>76.2</v>
      </c>
      <c r="G54" s="5">
        <v>230</v>
      </c>
      <c r="H54" s="5">
        <v>230</v>
      </c>
      <c r="I54" s="5">
        <f>IF(AND(G54&lt;&gt;"",H54&lt;&gt;""),(G54+H54)/2,"")</f>
        <v>230</v>
      </c>
      <c r="J54" s="4">
        <v>88</v>
      </c>
      <c r="K54" s="4">
        <v>88</v>
      </c>
      <c r="L54" s="4">
        <f>IF(AND(J54&lt;&gt;"",K54&lt;&gt;""),(J54+K54)/2,"")</f>
        <v>88</v>
      </c>
      <c r="M54" s="6">
        <f>IF(L54&lt;&gt;"",L54/33.7,"")</f>
        <v>2.611275964391691</v>
      </c>
      <c r="N54" s="6">
        <f>IF(AND(I54&lt;&gt;"",F54&lt;&gt;""),I54/F54,"")</f>
        <v>3.0183727034120733</v>
      </c>
      <c r="O54" s="2" t="s">
        <v>36</v>
      </c>
      <c r="P54" s="2" t="s">
        <v>37</v>
      </c>
      <c r="Q54" s="2" t="s">
        <v>100</v>
      </c>
      <c r="R54" s="3" t="s">
        <v>116</v>
      </c>
      <c r="S54" s="3" t="s">
        <v>386</v>
      </c>
      <c r="T54" s="2"/>
      <c r="U54" s="3"/>
      <c r="V54" s="3"/>
      <c r="W54" s="3"/>
      <c r="X54" s="3"/>
      <c r="Y54" s="3" t="str">
        <f>IF(AND(U54&lt;&gt;"",V54&lt;&gt;""),U54*V54,"")</f>
        <v/>
      </c>
      <c r="Z54" s="6"/>
      <c r="AA54" s="6"/>
      <c r="AB54" s="6"/>
      <c r="AC54" s="4"/>
      <c r="AD54" s="4"/>
      <c r="AE54" s="4"/>
      <c r="AF54" s="2"/>
    </row>
    <row r="55" spans="1:32" ht="16" x14ac:dyDescent="0.2">
      <c r="A55" s="3" t="s">
        <v>114</v>
      </c>
      <c r="B55" s="2" t="s">
        <v>123</v>
      </c>
      <c r="C55" s="3">
        <v>2025</v>
      </c>
      <c r="D55" s="3" t="s">
        <v>42</v>
      </c>
      <c r="E55" s="3" t="s">
        <v>74</v>
      </c>
      <c r="F55" s="4">
        <v>64.8</v>
      </c>
      <c r="G55" s="5">
        <v>253</v>
      </c>
      <c r="H55" s="5">
        <v>253</v>
      </c>
      <c r="I55" s="5">
        <f>IF(AND(G55&lt;&gt;"",H55&lt;&gt;""),(G55+H55)/2,"")</f>
        <v>253</v>
      </c>
      <c r="J55" s="4">
        <v>113</v>
      </c>
      <c r="K55" s="4">
        <v>113</v>
      </c>
      <c r="L55" s="4">
        <f>IF(AND(J55&lt;&gt;"",K55&lt;&gt;""),(J55+K55)/2,"")</f>
        <v>113</v>
      </c>
      <c r="M55" s="6">
        <f>IF(L55&lt;&gt;"",L55/33.7,"")</f>
        <v>3.353115727002967</v>
      </c>
      <c r="N55" s="6">
        <f>IF(AND(I55&lt;&gt;"",F55&lt;&gt;""),I55/F55,"")</f>
        <v>3.9043209876543212</v>
      </c>
      <c r="O55" s="2" t="s">
        <v>43</v>
      </c>
      <c r="P55" s="2" t="s">
        <v>44</v>
      </c>
      <c r="Q55" s="2"/>
      <c r="R55" s="3" t="s">
        <v>107</v>
      </c>
      <c r="S55" s="3" t="s">
        <v>124</v>
      </c>
      <c r="T55" s="2"/>
      <c r="U55" s="3"/>
      <c r="V55" s="3"/>
      <c r="W55" s="3"/>
      <c r="X55" s="3"/>
      <c r="Y55" s="3" t="str">
        <f>IF(AND(U55&lt;&gt;"",V55&lt;&gt;""),U55*V55,"")</f>
        <v/>
      </c>
      <c r="Z55" s="6"/>
      <c r="AA55" s="6"/>
      <c r="AB55" s="6"/>
      <c r="AC55" s="4"/>
      <c r="AD55" s="4"/>
      <c r="AE55" s="4"/>
      <c r="AF55" s="2"/>
    </row>
    <row r="56" spans="1:32" ht="48" x14ac:dyDescent="0.2">
      <c r="A56" s="3" t="s">
        <v>131</v>
      </c>
      <c r="B56" s="2" t="s">
        <v>132</v>
      </c>
      <c r="C56" s="3">
        <v>2025</v>
      </c>
      <c r="D56" s="3" t="s">
        <v>34</v>
      </c>
      <c r="E56" s="3" t="s">
        <v>35</v>
      </c>
      <c r="F56" s="4">
        <v>136.80000000000001</v>
      </c>
      <c r="G56" s="5">
        <v>446</v>
      </c>
      <c r="H56" s="5">
        <v>512</v>
      </c>
      <c r="I56" s="5">
        <f>IF(AND(G56&lt;&gt;"",H56&lt;&gt;""),(G56+H56)/2,"")</f>
        <v>479</v>
      </c>
      <c r="J56" s="4">
        <v>112</v>
      </c>
      <c r="K56" s="4">
        <v>128</v>
      </c>
      <c r="L56" s="4">
        <f>IF(AND(J56&lt;&gt;"",K56&lt;&gt;""),(J56+K56)/2,"")</f>
        <v>120</v>
      </c>
      <c r="M56" s="6">
        <f>IF(L56&lt;&gt;"",L56/33.7,"")</f>
        <v>3.5608308605341241</v>
      </c>
      <c r="N56" s="6">
        <f>IF(AND(I56&lt;&gt;"",F56&lt;&gt;""),I56/F56,"")</f>
        <v>3.5014619883040932</v>
      </c>
      <c r="O56" s="2" t="s">
        <v>133</v>
      </c>
      <c r="P56" s="2" t="s">
        <v>37</v>
      </c>
      <c r="Q56" s="2" t="s">
        <v>134</v>
      </c>
      <c r="R56" s="3" t="s">
        <v>135</v>
      </c>
      <c r="S56" s="3" t="s">
        <v>136</v>
      </c>
      <c r="T56" s="2" t="s">
        <v>137</v>
      </c>
      <c r="U56" s="3">
        <v>220</v>
      </c>
      <c r="V56" s="3">
        <v>30</v>
      </c>
      <c r="W56" s="3">
        <v>22</v>
      </c>
      <c r="X56" s="3">
        <v>300</v>
      </c>
      <c r="Y56" s="3">
        <f>IF(AND(U56&lt;&gt;"",V56&lt;&gt;""),U56*V56,"")</f>
        <v>6600</v>
      </c>
      <c r="Z56" s="6">
        <v>3.63</v>
      </c>
      <c r="AA56" s="6">
        <v>4.2</v>
      </c>
      <c r="AB56" s="6">
        <v>2.5</v>
      </c>
      <c r="AC56" s="4">
        <f>U56*Z56</f>
        <v>798.6</v>
      </c>
      <c r="AD56" s="4">
        <f>U56*AA56</f>
        <v>924</v>
      </c>
      <c r="AE56" s="4">
        <f>U56*AB56</f>
        <v>550</v>
      </c>
      <c r="AF56" s="2" t="s">
        <v>138</v>
      </c>
    </row>
    <row r="57" spans="1:32" ht="48" x14ac:dyDescent="0.2">
      <c r="A57" s="3" t="s">
        <v>131</v>
      </c>
      <c r="B57" s="2" t="s">
        <v>290</v>
      </c>
      <c r="C57" s="3">
        <v>2025</v>
      </c>
      <c r="D57" s="3" t="s">
        <v>34</v>
      </c>
      <c r="E57" s="3" t="s">
        <v>50</v>
      </c>
      <c r="F57" s="4">
        <v>84.1</v>
      </c>
      <c r="G57" s="5">
        <v>372</v>
      </c>
      <c r="H57" s="5">
        <v>420</v>
      </c>
      <c r="I57" s="5">
        <f>IF(AND(G57&lt;&gt;"",H57&lt;&gt;""),(G57+H57)/2,"")</f>
        <v>396</v>
      </c>
      <c r="J57" s="4">
        <v>129</v>
      </c>
      <c r="K57" s="4">
        <v>146</v>
      </c>
      <c r="L57" s="4">
        <f>IF(AND(J57&lt;&gt;"",K57&lt;&gt;""),(J57+K57)/2,"")</f>
        <v>137.5</v>
      </c>
      <c r="M57" s="6">
        <f>IF(L57&lt;&gt;"",L57/33.7,"")</f>
        <v>4.0801186943620174</v>
      </c>
      <c r="N57" s="6">
        <f>IF(AND(I57&lt;&gt;"",F57&lt;&gt;""),I57/F57,"")</f>
        <v>4.7086801426872773</v>
      </c>
      <c r="O57" s="2" t="s">
        <v>133</v>
      </c>
      <c r="P57" s="2" t="s">
        <v>37</v>
      </c>
      <c r="Q57" s="2" t="s">
        <v>134</v>
      </c>
      <c r="R57" s="3" t="s">
        <v>135</v>
      </c>
      <c r="S57" s="3" t="s">
        <v>136</v>
      </c>
      <c r="T57" s="2" t="s">
        <v>137</v>
      </c>
      <c r="U57" s="3">
        <v>220</v>
      </c>
      <c r="V57" s="3">
        <v>30</v>
      </c>
      <c r="W57" s="3">
        <v>22</v>
      </c>
      <c r="X57" s="3">
        <v>300</v>
      </c>
      <c r="Y57" s="3">
        <f>IF(AND(U57&lt;&gt;"",V57&lt;&gt;""),U57*V57,"")</f>
        <v>6600</v>
      </c>
      <c r="Z57" s="6">
        <v>3.63</v>
      </c>
      <c r="AA57" s="6">
        <v>4.2</v>
      </c>
      <c r="AB57" s="6">
        <v>2.5</v>
      </c>
      <c r="AC57" s="4">
        <f>U57*Z57</f>
        <v>798.6</v>
      </c>
      <c r="AD57" s="4">
        <f>U57*AA57</f>
        <v>924</v>
      </c>
      <c r="AE57" s="4">
        <f>U57*AB57</f>
        <v>550</v>
      </c>
      <c r="AF57" s="2" t="s">
        <v>138</v>
      </c>
    </row>
    <row r="58" spans="1:32" ht="48" x14ac:dyDescent="0.2">
      <c r="A58" s="3" t="s">
        <v>131</v>
      </c>
      <c r="B58" s="2" t="s">
        <v>291</v>
      </c>
      <c r="C58" s="3">
        <v>2025</v>
      </c>
      <c r="D58" s="3" t="s">
        <v>34</v>
      </c>
      <c r="E58" s="3" t="s">
        <v>35</v>
      </c>
      <c r="F58" s="4">
        <v>116.8</v>
      </c>
      <c r="G58" s="5">
        <v>427</v>
      </c>
      <c r="H58" s="5">
        <v>427</v>
      </c>
      <c r="I58" s="5">
        <f>IF(AND(G58&lt;&gt;"",H58&lt;&gt;""),(G58+H58)/2,"")</f>
        <v>427</v>
      </c>
      <c r="J58" s="4">
        <v>105</v>
      </c>
      <c r="K58" s="4">
        <v>105</v>
      </c>
      <c r="L58" s="4">
        <f>IF(AND(J58&lt;&gt;"",K58&lt;&gt;""),(J58+K58)/2,"")</f>
        <v>105</v>
      </c>
      <c r="M58" s="6">
        <f>IF(L58&lt;&gt;"",L58/33.7,"")</f>
        <v>3.1157270029673589</v>
      </c>
      <c r="N58" s="6">
        <f>IF(AND(I58&lt;&gt;"",F58&lt;&gt;""),I58/F58,"")</f>
        <v>3.6558219178082192</v>
      </c>
      <c r="O58" s="2" t="s">
        <v>133</v>
      </c>
      <c r="P58" s="2" t="s">
        <v>37</v>
      </c>
      <c r="Q58" s="2" t="s">
        <v>134</v>
      </c>
      <c r="R58" s="3" t="s">
        <v>135</v>
      </c>
      <c r="S58" s="3" t="s">
        <v>136</v>
      </c>
      <c r="T58" s="2" t="s">
        <v>137</v>
      </c>
      <c r="U58" s="3">
        <v>220</v>
      </c>
      <c r="V58" s="3">
        <v>30</v>
      </c>
      <c r="W58" s="3">
        <v>22</v>
      </c>
      <c r="X58" s="3">
        <v>300</v>
      </c>
      <c r="Y58" s="3">
        <f>IF(AND(U58&lt;&gt;"",V58&lt;&gt;""),U58*V58,"")</f>
        <v>6600</v>
      </c>
      <c r="Z58" s="6">
        <v>3.63</v>
      </c>
      <c r="AA58" s="6">
        <v>4.2</v>
      </c>
      <c r="AB58" s="6">
        <v>2.5</v>
      </c>
      <c r="AC58" s="4">
        <f>U58*Z58</f>
        <v>798.6</v>
      </c>
      <c r="AD58" s="4">
        <f>U58*AA58</f>
        <v>924</v>
      </c>
      <c r="AE58" s="4">
        <f>U58*AB58</f>
        <v>550</v>
      </c>
      <c r="AF58" s="2" t="s">
        <v>138</v>
      </c>
    </row>
    <row r="59" spans="1:32" ht="48" x14ac:dyDescent="0.2">
      <c r="A59" s="3" t="s">
        <v>131</v>
      </c>
      <c r="B59" s="2" t="s">
        <v>141</v>
      </c>
      <c r="C59" s="3">
        <v>2025</v>
      </c>
      <c r="D59" s="3" t="s">
        <v>34</v>
      </c>
      <c r="E59" s="3" t="s">
        <v>35</v>
      </c>
      <c r="F59" s="4">
        <v>116.8</v>
      </c>
      <c r="G59" s="5">
        <v>361</v>
      </c>
      <c r="H59" s="5">
        <v>406</v>
      </c>
      <c r="I59" s="5">
        <f>IF(AND(G59&lt;&gt;"",H59&lt;&gt;""),(G59+H59)/2,"")</f>
        <v>383.5</v>
      </c>
      <c r="J59" s="4">
        <v>116</v>
      </c>
      <c r="K59" s="4">
        <v>132</v>
      </c>
      <c r="L59" s="4">
        <f>IF(AND(J59&lt;&gt;"",K59&lt;&gt;""),(J59+K59)/2,"")</f>
        <v>124</v>
      </c>
      <c r="M59" s="6">
        <f>IF(L59&lt;&gt;"",L59/33.7,"")</f>
        <v>3.6795252225519284</v>
      </c>
      <c r="N59" s="6">
        <f>IF(AND(I59&lt;&gt;"",F59&lt;&gt;""),I59/F59,"")</f>
        <v>3.283390410958904</v>
      </c>
      <c r="O59" s="2" t="s">
        <v>133</v>
      </c>
      <c r="P59" s="2" t="s">
        <v>37</v>
      </c>
      <c r="Q59" s="2" t="s">
        <v>134</v>
      </c>
      <c r="R59" s="3" t="s">
        <v>135</v>
      </c>
      <c r="S59" s="3" t="s">
        <v>136</v>
      </c>
      <c r="T59" s="2" t="s">
        <v>137</v>
      </c>
      <c r="U59" s="3">
        <v>220</v>
      </c>
      <c r="V59" s="3">
        <v>30</v>
      </c>
      <c r="W59" s="3">
        <v>22</v>
      </c>
      <c r="X59" s="3">
        <v>300</v>
      </c>
      <c r="Y59" s="3">
        <f>IF(AND(U59&lt;&gt;"",V59&lt;&gt;""),U59*V59,"")</f>
        <v>6600</v>
      </c>
      <c r="Z59" s="6">
        <v>3.63</v>
      </c>
      <c r="AA59" s="6">
        <v>4.2</v>
      </c>
      <c r="AB59" s="6">
        <v>2.5</v>
      </c>
      <c r="AC59" s="4">
        <f>U59*Z59</f>
        <v>798.6</v>
      </c>
      <c r="AD59" s="4">
        <f>U59*AA59</f>
        <v>924</v>
      </c>
      <c r="AE59" s="4">
        <f>U59*AB59</f>
        <v>550</v>
      </c>
      <c r="AF59" s="2" t="s">
        <v>138</v>
      </c>
    </row>
    <row r="60" spans="1:32" ht="16" x14ac:dyDescent="0.2">
      <c r="A60" s="3" t="s">
        <v>292</v>
      </c>
      <c r="B60" s="2" t="s">
        <v>293</v>
      </c>
      <c r="C60" s="3">
        <v>2025</v>
      </c>
      <c r="D60" s="3" t="s">
        <v>34</v>
      </c>
      <c r="E60" s="3" t="s">
        <v>35</v>
      </c>
      <c r="F60" s="4">
        <v>90.4</v>
      </c>
      <c r="G60" s="5">
        <v>229</v>
      </c>
      <c r="H60" s="5">
        <v>233</v>
      </c>
      <c r="I60" s="5">
        <f>IF(AND(G60&lt;&gt;"",H60&lt;&gt;""),(G60+H60)/2,"")</f>
        <v>231</v>
      </c>
      <c r="J60" s="4">
        <v>82</v>
      </c>
      <c r="K60" s="4">
        <v>83</v>
      </c>
      <c r="L60" s="4">
        <f>IF(AND(J60&lt;&gt;"",K60&lt;&gt;""),(J60+K60)/2,"")</f>
        <v>82.5</v>
      </c>
      <c r="M60" s="6">
        <f>IF(L60&lt;&gt;"",L60/33.7,"")</f>
        <v>2.4480712166172105</v>
      </c>
      <c r="N60" s="6">
        <f>IF(AND(I60&lt;&gt;"",F60&lt;&gt;""),I60/F60,"")</f>
        <v>2.555309734513274</v>
      </c>
      <c r="O60" s="2" t="s">
        <v>43</v>
      </c>
      <c r="P60" s="2" t="s">
        <v>44</v>
      </c>
      <c r="Q60" s="2"/>
      <c r="R60" s="3" t="s">
        <v>62</v>
      </c>
      <c r="S60" s="3" t="s">
        <v>63</v>
      </c>
      <c r="T60" s="2"/>
      <c r="U60" s="3"/>
      <c r="V60" s="3"/>
      <c r="W60" s="3"/>
      <c r="X60" s="3"/>
      <c r="Y60" s="3" t="str">
        <f>IF(AND(U60&lt;&gt;"",V60&lt;&gt;""),U60*V60,"")</f>
        <v/>
      </c>
      <c r="Z60" s="6"/>
      <c r="AA60" s="6"/>
      <c r="AB60" s="6"/>
      <c r="AC60" s="4"/>
      <c r="AD60" s="4"/>
      <c r="AE60" s="4"/>
      <c r="AF60" s="2"/>
    </row>
    <row r="61" spans="1:32" ht="16" x14ac:dyDescent="0.2">
      <c r="A61" s="3" t="s">
        <v>292</v>
      </c>
      <c r="B61" s="2" t="s">
        <v>387</v>
      </c>
      <c r="C61" s="3">
        <v>2025</v>
      </c>
      <c r="D61" s="3" t="s">
        <v>42</v>
      </c>
      <c r="E61" s="3" t="s">
        <v>35</v>
      </c>
      <c r="F61" s="4">
        <v>57.6</v>
      </c>
      <c r="G61" s="5">
        <v>206</v>
      </c>
      <c r="H61" s="5">
        <v>245</v>
      </c>
      <c r="I61" s="5">
        <f>IF(AND(G61&lt;&gt;"",H61&lt;&gt;""),(G61+H61)/2,"")</f>
        <v>225.5</v>
      </c>
      <c r="J61" s="4">
        <v>62</v>
      </c>
      <c r="K61" s="4">
        <v>75</v>
      </c>
      <c r="L61" s="4">
        <f>IF(AND(J61&lt;&gt;"",K61&lt;&gt;""),(J61+K61)/2,"")</f>
        <v>68.5</v>
      </c>
      <c r="M61" s="6">
        <f>IF(L61&lt;&gt;"",L61/33.7,"")</f>
        <v>2.0326409495548958</v>
      </c>
      <c r="N61" s="6">
        <f>IF(AND(I61&lt;&gt;"",F61&lt;&gt;""),I61/F61,"")</f>
        <v>3.9149305555555554</v>
      </c>
      <c r="O61" s="2" t="s">
        <v>43</v>
      </c>
      <c r="P61" s="2" t="s">
        <v>44</v>
      </c>
      <c r="Q61" s="2"/>
      <c r="R61" s="3" t="s">
        <v>62</v>
      </c>
      <c r="S61" s="3" t="s">
        <v>63</v>
      </c>
      <c r="T61" s="2"/>
      <c r="U61" s="3"/>
      <c r="V61" s="3"/>
      <c r="W61" s="3"/>
      <c r="X61" s="3"/>
      <c r="Y61" s="3" t="str">
        <f>IF(AND(U61&lt;&gt;"",V61&lt;&gt;""),U61*V61,"")</f>
        <v/>
      </c>
      <c r="Z61" s="6"/>
      <c r="AA61" s="6"/>
      <c r="AB61" s="6"/>
      <c r="AC61" s="4"/>
      <c r="AD61" s="4"/>
      <c r="AE61" s="4"/>
      <c r="AF61" s="2"/>
    </row>
    <row r="62" spans="1:32" ht="16" x14ac:dyDescent="0.2">
      <c r="A62" s="3" t="s">
        <v>144</v>
      </c>
      <c r="B62" s="2" t="s">
        <v>294</v>
      </c>
      <c r="C62" s="3">
        <v>2025</v>
      </c>
      <c r="D62" s="3" t="s">
        <v>34</v>
      </c>
      <c r="E62" s="3" t="s">
        <v>35</v>
      </c>
      <c r="F62" s="4">
        <v>95.8</v>
      </c>
      <c r="G62" s="5">
        <v>220</v>
      </c>
      <c r="H62" s="5">
        <v>220</v>
      </c>
      <c r="I62" s="5">
        <f>IF(AND(G62&lt;&gt;"",H62&lt;&gt;""),(G62+H62)/2,"")</f>
        <v>220</v>
      </c>
      <c r="J62" s="4">
        <v>70</v>
      </c>
      <c r="K62" s="4">
        <v>70</v>
      </c>
      <c r="L62" s="4">
        <f>IF(AND(J62&lt;&gt;"",K62&lt;&gt;""),(J62+K62)/2,"")</f>
        <v>70</v>
      </c>
      <c r="M62" s="6">
        <f>IF(L62&lt;&gt;"",L62/33.7,"")</f>
        <v>2.0771513353115725</v>
      </c>
      <c r="N62" s="6">
        <f>IF(AND(I62&lt;&gt;"",F62&lt;&gt;""),I62/F62,"")</f>
        <v>2.2964509394572024</v>
      </c>
      <c r="O62" s="2" t="s">
        <v>43</v>
      </c>
      <c r="P62" s="2" t="s">
        <v>44</v>
      </c>
      <c r="Q62" s="2"/>
      <c r="R62" s="3" t="s">
        <v>295</v>
      </c>
      <c r="S62" s="3" t="s">
        <v>147</v>
      </c>
      <c r="T62" s="2"/>
      <c r="U62" s="3"/>
      <c r="V62" s="3"/>
      <c r="W62" s="3"/>
      <c r="X62" s="3"/>
      <c r="Y62" s="3" t="str">
        <f>IF(AND(U62&lt;&gt;"",V62&lt;&gt;""),U62*V62,"")</f>
        <v/>
      </c>
      <c r="Z62" s="6"/>
      <c r="AA62" s="6"/>
      <c r="AB62" s="6"/>
      <c r="AC62" s="4"/>
      <c r="AD62" s="4"/>
      <c r="AE62" s="4"/>
      <c r="AF62" s="2"/>
    </row>
    <row r="63" spans="1:32" ht="16" x14ac:dyDescent="0.2">
      <c r="A63" s="3" t="s">
        <v>144</v>
      </c>
      <c r="B63" s="2" t="s">
        <v>297</v>
      </c>
      <c r="C63" s="3">
        <v>2025</v>
      </c>
      <c r="D63" s="3" t="s">
        <v>42</v>
      </c>
      <c r="E63" s="3" t="s">
        <v>35</v>
      </c>
      <c r="F63" s="4">
        <v>95.8</v>
      </c>
      <c r="G63" s="5">
        <v>230</v>
      </c>
      <c r="H63" s="5">
        <v>230</v>
      </c>
      <c r="I63" s="5">
        <f>IF(AND(G63&lt;&gt;"",H63&lt;&gt;""),(G63+H63)/2,"")</f>
        <v>230</v>
      </c>
      <c r="J63" s="4">
        <v>74</v>
      </c>
      <c r="K63" s="4">
        <v>74</v>
      </c>
      <c r="L63" s="4">
        <f>IF(AND(J63&lt;&gt;"",K63&lt;&gt;""),(J63+K63)/2,"")</f>
        <v>74</v>
      </c>
      <c r="M63" s="6">
        <f>IF(L63&lt;&gt;"",L63/33.7,"")</f>
        <v>2.1958456973293767</v>
      </c>
      <c r="N63" s="6">
        <f>IF(AND(I63&lt;&gt;"",F63&lt;&gt;""),I63/F63,"")</f>
        <v>2.4008350730688934</v>
      </c>
      <c r="O63" s="2" t="s">
        <v>43</v>
      </c>
      <c r="P63" s="2" t="s">
        <v>44</v>
      </c>
      <c r="Q63" s="2"/>
      <c r="R63" s="3" t="s">
        <v>295</v>
      </c>
      <c r="S63" s="3" t="s">
        <v>147</v>
      </c>
      <c r="T63" s="2"/>
      <c r="U63" s="3"/>
      <c r="V63" s="3"/>
      <c r="W63" s="3"/>
      <c r="X63" s="3"/>
      <c r="Y63" s="3" t="str">
        <f>IF(AND(U63&lt;&gt;"",V63&lt;&gt;""),U63*V63,"")</f>
        <v/>
      </c>
      <c r="Z63" s="6"/>
      <c r="AA63" s="6"/>
      <c r="AB63" s="6"/>
      <c r="AC63" s="4"/>
      <c r="AD63" s="4"/>
      <c r="AE63" s="4"/>
      <c r="AF63" s="2"/>
    </row>
    <row r="64" spans="1:32" ht="16" x14ac:dyDescent="0.2">
      <c r="A64" s="3" t="s">
        <v>144</v>
      </c>
      <c r="B64" s="2" t="s">
        <v>298</v>
      </c>
      <c r="C64" s="3">
        <v>2025</v>
      </c>
      <c r="D64" s="3" t="s">
        <v>34</v>
      </c>
      <c r="E64" s="3" t="s">
        <v>35</v>
      </c>
      <c r="F64" s="4">
        <v>122</v>
      </c>
      <c r="G64" s="5">
        <v>315</v>
      </c>
      <c r="H64" s="5">
        <v>315</v>
      </c>
      <c r="I64" s="5">
        <f>IF(AND(G64&lt;&gt;"",H64&lt;&gt;""),(G64+H64)/2,"")</f>
        <v>315</v>
      </c>
      <c r="J64" s="4">
        <v>78</v>
      </c>
      <c r="K64" s="4">
        <v>78</v>
      </c>
      <c r="L64" s="4">
        <f>IF(AND(J64&lt;&gt;"",K64&lt;&gt;""),(J64+K64)/2,"")</f>
        <v>78</v>
      </c>
      <c r="M64" s="6">
        <f>IF(L64&lt;&gt;"",L64/33.7,"")</f>
        <v>2.314540059347181</v>
      </c>
      <c r="N64" s="6">
        <f>IF(AND(I64&lt;&gt;"",F64&lt;&gt;""),I64/F64,"")</f>
        <v>2.581967213114754</v>
      </c>
      <c r="O64" s="2" t="s">
        <v>43</v>
      </c>
      <c r="P64" s="2" t="s">
        <v>44</v>
      </c>
      <c r="Q64" s="2"/>
      <c r="R64" s="3" t="s">
        <v>146</v>
      </c>
      <c r="S64" s="3" t="s">
        <v>299</v>
      </c>
      <c r="T64" s="2"/>
      <c r="U64" s="3"/>
      <c r="V64" s="3"/>
      <c r="W64" s="3"/>
      <c r="X64" s="3"/>
      <c r="Y64" s="3" t="str">
        <f>IF(AND(U64&lt;&gt;"",V64&lt;&gt;""),U64*V64,"")</f>
        <v/>
      </c>
      <c r="Z64" s="6"/>
      <c r="AA64" s="6"/>
      <c r="AB64" s="6"/>
      <c r="AC64" s="4"/>
      <c r="AD64" s="4"/>
      <c r="AE64" s="4"/>
      <c r="AF64" s="2"/>
    </row>
    <row r="65" spans="1:32" ht="16" x14ac:dyDescent="0.2">
      <c r="A65" s="3" t="s">
        <v>144</v>
      </c>
      <c r="B65" s="2" t="s">
        <v>305</v>
      </c>
      <c r="C65" s="3">
        <v>2025</v>
      </c>
      <c r="D65" s="3" t="s">
        <v>34</v>
      </c>
      <c r="E65" s="3" t="s">
        <v>50</v>
      </c>
      <c r="F65" s="4">
        <v>95.7</v>
      </c>
      <c r="G65" s="5">
        <v>308</v>
      </c>
      <c r="H65" s="5">
        <v>308</v>
      </c>
      <c r="I65" s="5">
        <f>IF(AND(G65&lt;&gt;"",H65&lt;&gt;""),(G65+H65)/2,"")</f>
        <v>308</v>
      </c>
      <c r="J65" s="4">
        <v>94</v>
      </c>
      <c r="K65" s="4">
        <v>94</v>
      </c>
      <c r="L65" s="4">
        <f>IF(AND(J65&lt;&gt;"",K65&lt;&gt;""),(J65+K65)/2,"")</f>
        <v>94</v>
      </c>
      <c r="M65" s="6">
        <f>IF(L65&lt;&gt;"",L65/33.7,"")</f>
        <v>2.7893175074183976</v>
      </c>
      <c r="N65" s="6">
        <f>IF(AND(I65&lt;&gt;"",F65&lt;&gt;""),I65/F65,"")</f>
        <v>3.2183908045977012</v>
      </c>
      <c r="O65" s="2" t="s">
        <v>43</v>
      </c>
      <c r="P65" s="2" t="s">
        <v>44</v>
      </c>
      <c r="Q65" s="2"/>
      <c r="R65" s="3" t="s">
        <v>295</v>
      </c>
      <c r="S65" s="3" t="s">
        <v>147</v>
      </c>
      <c r="T65" s="2"/>
      <c r="U65" s="3"/>
      <c r="V65" s="3"/>
      <c r="W65" s="3"/>
      <c r="X65" s="3"/>
      <c r="Y65" s="3" t="str">
        <f>IF(AND(U65&lt;&gt;"",V65&lt;&gt;""),U65*V65,"")</f>
        <v/>
      </c>
      <c r="Z65" s="6"/>
      <c r="AA65" s="6"/>
      <c r="AB65" s="6"/>
      <c r="AC65" s="4"/>
      <c r="AD65" s="4"/>
      <c r="AE65" s="4"/>
      <c r="AF65" s="2"/>
    </row>
    <row r="66" spans="1:32" ht="16" x14ac:dyDescent="0.2">
      <c r="A66" s="3" t="s">
        <v>144</v>
      </c>
      <c r="B66" s="2" t="s">
        <v>306</v>
      </c>
      <c r="C66" s="3">
        <v>2025</v>
      </c>
      <c r="D66" s="3" t="s">
        <v>34</v>
      </c>
      <c r="E66" s="3" t="s">
        <v>35</v>
      </c>
      <c r="F66" s="4">
        <v>95.8</v>
      </c>
      <c r="G66" s="5">
        <v>267</v>
      </c>
      <c r="H66" s="5">
        <v>267</v>
      </c>
      <c r="I66" s="5">
        <f>IF(AND(G66&lt;&gt;"",H66&lt;&gt;""),(G66+H66)/2,"")</f>
        <v>267</v>
      </c>
      <c r="J66" s="4">
        <v>86</v>
      </c>
      <c r="K66" s="4">
        <v>86</v>
      </c>
      <c r="L66" s="4">
        <f>IF(AND(J66&lt;&gt;"",K66&lt;&gt;""),(J66+K66)/2,"")</f>
        <v>86</v>
      </c>
      <c r="M66" s="6">
        <f>IF(L66&lt;&gt;"",L66/33.7,"")</f>
        <v>2.5519287833827891</v>
      </c>
      <c r="N66" s="6">
        <f>IF(AND(I66&lt;&gt;"",F66&lt;&gt;""),I66/F66,"")</f>
        <v>2.7870563674321502</v>
      </c>
      <c r="O66" s="2" t="s">
        <v>43</v>
      </c>
      <c r="P66" s="2" t="s">
        <v>44</v>
      </c>
      <c r="Q66" s="2"/>
      <c r="R66" s="3" t="s">
        <v>295</v>
      </c>
      <c r="S66" s="3" t="s">
        <v>147</v>
      </c>
      <c r="T66" s="2"/>
      <c r="U66" s="3"/>
      <c r="V66" s="3"/>
      <c r="W66" s="3"/>
      <c r="X66" s="3"/>
      <c r="Y66" s="3" t="str">
        <f>IF(AND(U66&lt;&gt;"",V66&lt;&gt;""),U66*V66,"")</f>
        <v/>
      </c>
      <c r="Z66" s="6"/>
      <c r="AA66" s="6"/>
      <c r="AB66" s="6"/>
      <c r="AC66" s="4"/>
      <c r="AD66" s="4"/>
      <c r="AE66" s="4"/>
      <c r="AF66" s="2"/>
    </row>
    <row r="67" spans="1:32" ht="16" x14ac:dyDescent="0.2">
      <c r="A67" s="3" t="s">
        <v>144</v>
      </c>
      <c r="B67" s="2" t="s">
        <v>307</v>
      </c>
      <c r="C67" s="3">
        <v>2025</v>
      </c>
      <c r="D67" s="3" t="s">
        <v>42</v>
      </c>
      <c r="E67" s="3" t="s">
        <v>35</v>
      </c>
      <c r="F67" s="4">
        <v>95.8</v>
      </c>
      <c r="G67" s="5">
        <v>253</v>
      </c>
      <c r="H67" s="5">
        <v>253</v>
      </c>
      <c r="I67" s="5">
        <f>IF(AND(G67&lt;&gt;"",H67&lt;&gt;""),(G67+H67)/2,"")</f>
        <v>253</v>
      </c>
      <c r="J67" s="4">
        <v>81</v>
      </c>
      <c r="K67" s="4">
        <v>81</v>
      </c>
      <c r="L67" s="4">
        <f>IF(AND(J67&lt;&gt;"",K67&lt;&gt;""),(J67+K67)/2,"")</f>
        <v>81</v>
      </c>
      <c r="M67" s="6">
        <f>IF(L67&lt;&gt;"",L67/33.7,"")</f>
        <v>2.4035608308605338</v>
      </c>
      <c r="N67" s="6">
        <f>IF(AND(I67&lt;&gt;"",F67&lt;&gt;""),I67/F67,"")</f>
        <v>2.6409185803757831</v>
      </c>
      <c r="O67" s="2" t="s">
        <v>43</v>
      </c>
      <c r="P67" s="2" t="s">
        <v>44</v>
      </c>
      <c r="Q67" s="2"/>
      <c r="R67" s="3" t="s">
        <v>295</v>
      </c>
      <c r="S67" s="3" t="s">
        <v>147</v>
      </c>
      <c r="T67" s="2"/>
      <c r="U67" s="3"/>
      <c r="V67" s="3"/>
      <c r="W67" s="3"/>
      <c r="X67" s="3"/>
      <c r="Y67" s="3" t="str">
        <f>IF(AND(U67&lt;&gt;"",V67&lt;&gt;""),U67*V67,"")</f>
        <v/>
      </c>
      <c r="Z67" s="6"/>
      <c r="AA67" s="6"/>
      <c r="AB67" s="6"/>
      <c r="AC67" s="4"/>
      <c r="AD67" s="4"/>
      <c r="AE67" s="4"/>
      <c r="AF67" s="2"/>
    </row>
    <row r="68" spans="1:32" ht="16" x14ac:dyDescent="0.2">
      <c r="A68" s="3" t="s">
        <v>144</v>
      </c>
      <c r="B68" s="2" t="s">
        <v>310</v>
      </c>
      <c r="C68" s="3">
        <v>2025</v>
      </c>
      <c r="D68" s="3" t="s">
        <v>34</v>
      </c>
      <c r="E68" s="3" t="s">
        <v>50</v>
      </c>
      <c r="F68" s="4">
        <v>101.6</v>
      </c>
      <c r="G68" s="5">
        <v>302</v>
      </c>
      <c r="H68" s="5">
        <v>302</v>
      </c>
      <c r="I68" s="5">
        <f>IF(AND(G68&lt;&gt;"",H68&lt;&gt;""),(G68+H68)/2,"")</f>
        <v>302</v>
      </c>
      <c r="J68" s="4">
        <v>93</v>
      </c>
      <c r="K68" s="4">
        <v>93</v>
      </c>
      <c r="L68" s="4">
        <f>IF(AND(J68&lt;&gt;"",K68&lt;&gt;""),(J68+K68)/2,"")</f>
        <v>93</v>
      </c>
      <c r="M68" s="6">
        <f>IF(L68&lt;&gt;"",L68/33.7,"")</f>
        <v>2.7596439169139462</v>
      </c>
      <c r="N68" s="6">
        <f>IF(AND(I68&lt;&gt;"",F68&lt;&gt;""),I68/F68,"")</f>
        <v>2.9724409448818898</v>
      </c>
      <c r="O68" s="2" t="s">
        <v>43</v>
      </c>
      <c r="P68" s="2" t="s">
        <v>44</v>
      </c>
      <c r="Q68" s="2"/>
      <c r="R68" s="3" t="s">
        <v>295</v>
      </c>
      <c r="S68" s="3" t="s">
        <v>309</v>
      </c>
      <c r="T68" s="2"/>
      <c r="U68" s="3"/>
      <c r="V68" s="3"/>
      <c r="W68" s="3"/>
      <c r="X68" s="3"/>
      <c r="Y68" s="3" t="str">
        <f>IF(AND(U68&lt;&gt;"",V68&lt;&gt;""),U68*V68,"")</f>
        <v/>
      </c>
      <c r="Z68" s="6"/>
      <c r="AA68" s="6"/>
      <c r="AB68" s="6"/>
      <c r="AC68" s="4"/>
      <c r="AD68" s="4"/>
      <c r="AE68" s="4"/>
      <c r="AF68" s="2"/>
    </row>
    <row r="69" spans="1:32" ht="16" x14ac:dyDescent="0.2">
      <c r="A69" s="3" t="s">
        <v>144</v>
      </c>
      <c r="B69" s="2" t="s">
        <v>311</v>
      </c>
      <c r="C69" s="3">
        <v>2025</v>
      </c>
      <c r="D69" s="3" t="s">
        <v>34</v>
      </c>
      <c r="E69" s="3" t="s">
        <v>35</v>
      </c>
      <c r="F69" s="4">
        <v>95.8</v>
      </c>
      <c r="G69" s="5">
        <v>266</v>
      </c>
      <c r="H69" s="5">
        <v>266</v>
      </c>
      <c r="I69" s="5">
        <f>IF(AND(G69&lt;&gt;"",H69&lt;&gt;""),(G69+H69)/2,"")</f>
        <v>266</v>
      </c>
      <c r="J69" s="4">
        <v>85</v>
      </c>
      <c r="K69" s="4">
        <v>85</v>
      </c>
      <c r="L69" s="4">
        <f>IF(AND(J69&lt;&gt;"",K69&lt;&gt;""),(J69+K69)/2,"")</f>
        <v>85</v>
      </c>
      <c r="M69" s="6">
        <f>IF(L69&lt;&gt;"",L69/33.7,"")</f>
        <v>2.5222551928783381</v>
      </c>
      <c r="N69" s="6">
        <f>IF(AND(I69&lt;&gt;"",F69&lt;&gt;""),I69/F69,"")</f>
        <v>2.7766179540709812</v>
      </c>
      <c r="O69" s="2" t="s">
        <v>43</v>
      </c>
      <c r="P69" s="2" t="s">
        <v>44</v>
      </c>
      <c r="Q69" s="2"/>
      <c r="R69" s="3" t="s">
        <v>295</v>
      </c>
      <c r="S69" s="3" t="s">
        <v>147</v>
      </c>
      <c r="T69" s="2"/>
      <c r="U69" s="3"/>
      <c r="V69" s="3"/>
      <c r="W69" s="3"/>
      <c r="X69" s="3"/>
      <c r="Y69" s="3" t="str">
        <f>IF(AND(U69&lt;&gt;"",V69&lt;&gt;""),U69*V69,"")</f>
        <v/>
      </c>
      <c r="Z69" s="6"/>
      <c r="AA69" s="6"/>
      <c r="AB69" s="6"/>
      <c r="AC69" s="4"/>
      <c r="AD69" s="4"/>
      <c r="AE69" s="4"/>
      <c r="AF69" s="2"/>
    </row>
    <row r="70" spans="1:32" ht="16" x14ac:dyDescent="0.2">
      <c r="A70" s="3" t="s">
        <v>144</v>
      </c>
      <c r="B70" s="2" t="s">
        <v>312</v>
      </c>
      <c r="C70" s="3">
        <v>2025</v>
      </c>
      <c r="D70" s="3" t="s">
        <v>34</v>
      </c>
      <c r="E70" s="3" t="s">
        <v>35</v>
      </c>
      <c r="F70" s="4">
        <v>95.8</v>
      </c>
      <c r="G70" s="5">
        <v>264</v>
      </c>
      <c r="H70" s="5">
        <v>264</v>
      </c>
      <c r="I70" s="5">
        <f>IF(AND(G70&lt;&gt;"",H70&lt;&gt;""),(G70+H70)/2,"")</f>
        <v>264</v>
      </c>
      <c r="J70" s="4">
        <v>81</v>
      </c>
      <c r="K70" s="4">
        <v>81</v>
      </c>
      <c r="L70" s="4">
        <f>IF(AND(J70&lt;&gt;"",K70&lt;&gt;""),(J70+K70)/2,"")</f>
        <v>81</v>
      </c>
      <c r="M70" s="6">
        <f>IF(L70&lt;&gt;"",L70/33.7,"")</f>
        <v>2.4035608308605338</v>
      </c>
      <c r="N70" s="6">
        <f>IF(AND(I70&lt;&gt;"",F70&lt;&gt;""),I70/F70,"")</f>
        <v>2.7557411273486432</v>
      </c>
      <c r="O70" s="2" t="s">
        <v>43</v>
      </c>
      <c r="P70" s="2" t="s">
        <v>44</v>
      </c>
      <c r="Q70" s="2"/>
      <c r="R70" s="3" t="s">
        <v>295</v>
      </c>
      <c r="S70" s="3" t="s">
        <v>147</v>
      </c>
      <c r="T70" s="2"/>
      <c r="U70" s="3"/>
      <c r="V70" s="3"/>
      <c r="W70" s="3"/>
      <c r="X70" s="3"/>
      <c r="Y70" s="3" t="str">
        <f>IF(AND(U70&lt;&gt;"",V70&lt;&gt;""),U70*V70,"")</f>
        <v/>
      </c>
      <c r="Z70" s="6"/>
      <c r="AA70" s="6"/>
      <c r="AB70" s="6"/>
      <c r="AC70" s="4"/>
      <c r="AD70" s="4"/>
      <c r="AE70" s="4"/>
      <c r="AF70" s="2"/>
    </row>
    <row r="71" spans="1:32" ht="16" x14ac:dyDescent="0.2">
      <c r="A71" s="3" t="s">
        <v>144</v>
      </c>
      <c r="B71" s="2" t="s">
        <v>313</v>
      </c>
      <c r="C71" s="3">
        <v>2025</v>
      </c>
      <c r="D71" s="3" t="s">
        <v>34</v>
      </c>
      <c r="E71" s="3" t="s">
        <v>50</v>
      </c>
      <c r="F71" s="4">
        <v>122</v>
      </c>
      <c r="G71" s="5">
        <v>323</v>
      </c>
      <c r="H71" s="5">
        <v>323</v>
      </c>
      <c r="I71" s="5">
        <f>IF(AND(G71&lt;&gt;"",H71&lt;&gt;""),(G71+H71)/2,"")</f>
        <v>323</v>
      </c>
      <c r="J71" s="4">
        <v>98</v>
      </c>
      <c r="K71" s="4">
        <v>98</v>
      </c>
      <c r="L71" s="4">
        <f>IF(AND(J71&lt;&gt;"",K71&lt;&gt;""),(J71+K71)/2,"")</f>
        <v>98</v>
      </c>
      <c r="M71" s="6">
        <f>IF(L71&lt;&gt;"",L71/33.7,"")</f>
        <v>2.9080118694362014</v>
      </c>
      <c r="N71" s="6">
        <f>IF(AND(I71&lt;&gt;"",F71&lt;&gt;""),I71/F71,"")</f>
        <v>2.6475409836065573</v>
      </c>
      <c r="O71" s="2" t="s">
        <v>43</v>
      </c>
      <c r="P71" s="2" t="s">
        <v>44</v>
      </c>
      <c r="Q71" s="2"/>
      <c r="R71" s="3" t="s">
        <v>146</v>
      </c>
      <c r="S71" s="3" t="s">
        <v>299</v>
      </c>
      <c r="T71" s="2"/>
      <c r="U71" s="3"/>
      <c r="V71" s="3"/>
      <c r="W71" s="3"/>
      <c r="X71" s="3"/>
      <c r="Y71" s="3" t="str">
        <f>IF(AND(U71&lt;&gt;"",V71&lt;&gt;""),U71*V71,"")</f>
        <v/>
      </c>
      <c r="Z71" s="6"/>
      <c r="AA71" s="6"/>
      <c r="AB71" s="6"/>
      <c r="AC71" s="4"/>
      <c r="AD71" s="4"/>
      <c r="AE71" s="4"/>
      <c r="AF71" s="2"/>
    </row>
    <row r="72" spans="1:32" ht="16" x14ac:dyDescent="0.2">
      <c r="A72" s="3" t="s">
        <v>144</v>
      </c>
      <c r="B72" s="2" t="s">
        <v>145</v>
      </c>
      <c r="C72" s="3">
        <v>2025</v>
      </c>
      <c r="D72" s="3" t="s">
        <v>34</v>
      </c>
      <c r="E72" s="3" t="s">
        <v>35</v>
      </c>
      <c r="F72" s="4">
        <v>122</v>
      </c>
      <c r="G72" s="5">
        <v>367</v>
      </c>
      <c r="H72" s="5">
        <v>367</v>
      </c>
      <c r="I72" s="5">
        <f>IF(AND(G72&lt;&gt;"",H72&lt;&gt;""),(G72+H72)/2,"")</f>
        <v>367</v>
      </c>
      <c r="J72" s="4">
        <v>92</v>
      </c>
      <c r="K72" s="4">
        <v>92</v>
      </c>
      <c r="L72" s="4">
        <f>IF(AND(J72&lt;&gt;"",K72&lt;&gt;""),(J72+K72)/2,"")</f>
        <v>92</v>
      </c>
      <c r="M72" s="6">
        <f>IF(L72&lt;&gt;"",L72/33.7,"")</f>
        <v>2.7299703264094952</v>
      </c>
      <c r="N72" s="6">
        <f>IF(AND(I72&lt;&gt;"",F72&lt;&gt;""),I72/F72,"")</f>
        <v>3.0081967213114753</v>
      </c>
      <c r="O72" s="2" t="s">
        <v>43</v>
      </c>
      <c r="P72" s="2" t="s">
        <v>44</v>
      </c>
      <c r="Q72" s="2"/>
      <c r="R72" s="3" t="s">
        <v>146</v>
      </c>
      <c r="S72" s="3" t="s">
        <v>299</v>
      </c>
      <c r="T72" s="2"/>
      <c r="U72" s="3"/>
      <c r="V72" s="3"/>
      <c r="W72" s="3"/>
      <c r="X72" s="3"/>
      <c r="Y72" s="3" t="str">
        <f>IF(AND(U72&lt;&gt;"",V72&lt;&gt;""),U72*V72,"")</f>
        <v/>
      </c>
      <c r="Z72" s="6"/>
      <c r="AA72" s="6"/>
      <c r="AB72" s="6"/>
      <c r="AC72" s="4"/>
      <c r="AD72" s="4"/>
      <c r="AE72" s="4"/>
      <c r="AF72" s="2"/>
    </row>
    <row r="73" spans="1:32" ht="16" x14ac:dyDescent="0.2">
      <c r="A73" s="3" t="s">
        <v>144</v>
      </c>
      <c r="B73" s="2" t="s">
        <v>315</v>
      </c>
      <c r="C73" s="3">
        <v>2025</v>
      </c>
      <c r="D73" s="3" t="s">
        <v>42</v>
      </c>
      <c r="E73" s="3" t="s">
        <v>35</v>
      </c>
      <c r="F73" s="4">
        <v>122</v>
      </c>
      <c r="G73" s="5">
        <v>312</v>
      </c>
      <c r="H73" s="5">
        <v>317</v>
      </c>
      <c r="I73" s="5">
        <f>IF(AND(G73&lt;&gt;"",H73&lt;&gt;""),(G73+H73)/2,"")</f>
        <v>314.5</v>
      </c>
      <c r="J73" s="4">
        <v>79</v>
      </c>
      <c r="K73" s="4">
        <v>80</v>
      </c>
      <c r="L73" s="4">
        <f>IF(AND(J73&lt;&gt;"",K73&lt;&gt;""),(J73+K73)/2,"")</f>
        <v>79.5</v>
      </c>
      <c r="M73" s="6">
        <f>IF(L73&lt;&gt;"",L73/33.7,"")</f>
        <v>2.3590504451038572</v>
      </c>
      <c r="N73" s="6">
        <f>IF(AND(I73&lt;&gt;"",F73&lt;&gt;""),I73/F73,"")</f>
        <v>2.5778688524590163</v>
      </c>
      <c r="O73" s="2" t="s">
        <v>43</v>
      </c>
      <c r="P73" s="2" t="s">
        <v>44</v>
      </c>
      <c r="Q73" s="2"/>
      <c r="R73" s="3" t="s">
        <v>146</v>
      </c>
      <c r="S73" s="3" t="s">
        <v>299</v>
      </c>
      <c r="T73" s="2"/>
      <c r="U73" s="3"/>
      <c r="V73" s="3"/>
      <c r="W73" s="3"/>
      <c r="X73" s="3"/>
      <c r="Y73" s="3" t="str">
        <f>IF(AND(U73&lt;&gt;"",V73&lt;&gt;""),U73*V73,"")</f>
        <v/>
      </c>
      <c r="Z73" s="6"/>
      <c r="AA73" s="6"/>
      <c r="AB73" s="6"/>
      <c r="AC73" s="4"/>
      <c r="AD73" s="4"/>
      <c r="AE73" s="4"/>
      <c r="AF73" s="2"/>
    </row>
    <row r="74" spans="1:32" ht="16" x14ac:dyDescent="0.2">
      <c r="A74" s="3" t="s">
        <v>144</v>
      </c>
      <c r="B74" s="2" t="s">
        <v>149</v>
      </c>
      <c r="C74" s="3">
        <v>2025</v>
      </c>
      <c r="D74" s="3" t="s">
        <v>42</v>
      </c>
      <c r="E74" s="3" t="s">
        <v>50</v>
      </c>
      <c r="F74" s="4">
        <v>122</v>
      </c>
      <c r="G74" s="5">
        <v>323</v>
      </c>
      <c r="H74" s="5">
        <v>323</v>
      </c>
      <c r="I74" s="5">
        <f>IF(AND(G74&lt;&gt;"",H74&lt;&gt;""),(G74+H74)/2,"")</f>
        <v>323</v>
      </c>
      <c r="J74" s="4">
        <v>82</v>
      </c>
      <c r="K74" s="4">
        <v>82</v>
      </c>
      <c r="L74" s="4">
        <f>IF(AND(J74&lt;&gt;"",K74&lt;&gt;""),(J74+K74)/2,"")</f>
        <v>82</v>
      </c>
      <c r="M74" s="6">
        <f>IF(L74&lt;&gt;"",L74/33.7,"")</f>
        <v>2.4332344213649848</v>
      </c>
      <c r="N74" s="6">
        <f>IF(AND(I74&lt;&gt;"",F74&lt;&gt;""),I74/F74,"")</f>
        <v>2.6475409836065573</v>
      </c>
      <c r="O74" s="2" t="s">
        <v>43</v>
      </c>
      <c r="P74" s="2" t="s">
        <v>44</v>
      </c>
      <c r="Q74" s="2"/>
      <c r="R74" s="3" t="s">
        <v>146</v>
      </c>
      <c r="S74" s="3" t="s">
        <v>299</v>
      </c>
      <c r="T74" s="2"/>
      <c r="U74" s="3"/>
      <c r="V74" s="3"/>
      <c r="W74" s="3"/>
      <c r="X74" s="3"/>
      <c r="Y74" s="3" t="str">
        <f>IF(AND(U74&lt;&gt;"",V74&lt;&gt;""),U74*V74,"")</f>
        <v/>
      </c>
      <c r="Z74" s="6"/>
      <c r="AA74" s="6"/>
      <c r="AB74" s="6"/>
      <c r="AC74" s="4"/>
      <c r="AD74" s="4"/>
      <c r="AE74" s="4"/>
      <c r="AF74" s="2"/>
    </row>
    <row r="75" spans="1:32" ht="16" x14ac:dyDescent="0.2">
      <c r="A75" s="3" t="s">
        <v>144</v>
      </c>
      <c r="B75" s="2" t="s">
        <v>317</v>
      </c>
      <c r="C75" s="3">
        <v>2025</v>
      </c>
      <c r="D75" s="3" t="s">
        <v>34</v>
      </c>
      <c r="E75" s="3" t="s">
        <v>35</v>
      </c>
      <c r="F75" s="4">
        <v>122</v>
      </c>
      <c r="G75" s="5">
        <v>371</v>
      </c>
      <c r="H75" s="5">
        <v>371</v>
      </c>
      <c r="I75" s="5">
        <f>IF(AND(G75&lt;&gt;"",H75&lt;&gt;""),(G75+H75)/2,"")</f>
        <v>371</v>
      </c>
      <c r="J75" s="4">
        <v>93</v>
      </c>
      <c r="K75" s="4">
        <v>93</v>
      </c>
      <c r="L75" s="4">
        <f>IF(AND(J75&lt;&gt;"",K75&lt;&gt;""),(J75+K75)/2,"")</f>
        <v>93</v>
      </c>
      <c r="M75" s="6">
        <f>IF(L75&lt;&gt;"",L75/33.7,"")</f>
        <v>2.7596439169139462</v>
      </c>
      <c r="N75" s="6">
        <f>IF(AND(I75&lt;&gt;"",F75&lt;&gt;""),I75/F75,"")</f>
        <v>3.040983606557377</v>
      </c>
      <c r="O75" s="2" t="s">
        <v>43</v>
      </c>
      <c r="P75" s="2" t="s">
        <v>44</v>
      </c>
      <c r="Q75" s="2"/>
      <c r="R75" s="3" t="s">
        <v>146</v>
      </c>
      <c r="S75" s="3" t="s">
        <v>299</v>
      </c>
      <c r="T75" s="2"/>
      <c r="U75" s="3"/>
      <c r="V75" s="3"/>
      <c r="W75" s="3"/>
      <c r="X75" s="3"/>
      <c r="Y75" s="3" t="str">
        <f>IF(AND(U75&lt;&gt;"",V75&lt;&gt;""),U75*V75,"")</f>
        <v/>
      </c>
      <c r="Z75" s="6"/>
      <c r="AA75" s="6"/>
      <c r="AB75" s="6"/>
      <c r="AC75" s="4"/>
      <c r="AD75" s="4"/>
      <c r="AE75" s="4"/>
      <c r="AF75" s="2"/>
    </row>
    <row r="76" spans="1:32" ht="16" x14ac:dyDescent="0.2">
      <c r="A76" s="3" t="s">
        <v>144</v>
      </c>
      <c r="B76" s="2" t="s">
        <v>318</v>
      </c>
      <c r="C76" s="3">
        <v>2025</v>
      </c>
      <c r="D76" s="3" t="s">
        <v>42</v>
      </c>
      <c r="E76" s="3" t="s">
        <v>35</v>
      </c>
      <c r="F76" s="4">
        <v>122</v>
      </c>
      <c r="G76" s="5">
        <v>302</v>
      </c>
      <c r="H76" s="5">
        <v>302</v>
      </c>
      <c r="I76" s="5">
        <f>IF(AND(G76&lt;&gt;"",H76&lt;&gt;""),(G76+H76)/2,"")</f>
        <v>302</v>
      </c>
      <c r="J76" s="4">
        <v>76</v>
      </c>
      <c r="K76" s="4">
        <v>76</v>
      </c>
      <c r="L76" s="4">
        <f>IF(AND(J76&lt;&gt;"",K76&lt;&gt;""),(J76+K76)/2,"")</f>
        <v>76</v>
      </c>
      <c r="M76" s="6">
        <f>IF(L76&lt;&gt;"",L76/33.7,"")</f>
        <v>2.2551928783382786</v>
      </c>
      <c r="N76" s="6">
        <f>IF(AND(I76&lt;&gt;"",F76&lt;&gt;""),I76/F76,"")</f>
        <v>2.4754098360655736</v>
      </c>
      <c r="O76" s="2" t="s">
        <v>43</v>
      </c>
      <c r="P76" s="2" t="s">
        <v>44</v>
      </c>
      <c r="Q76" s="2"/>
      <c r="R76" s="3" t="s">
        <v>146</v>
      </c>
      <c r="S76" s="3" t="s">
        <v>299</v>
      </c>
      <c r="T76" s="2"/>
      <c r="U76" s="3"/>
      <c r="V76" s="3"/>
      <c r="W76" s="3"/>
      <c r="X76" s="3"/>
      <c r="Y76" s="3" t="str">
        <f>IF(AND(U76&lt;&gt;"",V76&lt;&gt;""),U76*V76,"")</f>
        <v/>
      </c>
      <c r="Z76" s="6"/>
      <c r="AA76" s="6"/>
      <c r="AB76" s="6"/>
      <c r="AC76" s="4"/>
      <c r="AD76" s="4"/>
      <c r="AE76" s="4"/>
      <c r="AF76" s="2"/>
    </row>
    <row r="77" spans="1:32" ht="16" x14ac:dyDescent="0.2">
      <c r="A77" s="3" t="s">
        <v>144</v>
      </c>
      <c r="B77" s="2" t="s">
        <v>388</v>
      </c>
      <c r="C77" s="3">
        <v>2025</v>
      </c>
      <c r="D77" s="3" t="s">
        <v>42</v>
      </c>
      <c r="E77" s="3" t="s">
        <v>111</v>
      </c>
      <c r="F77" s="4">
        <v>122</v>
      </c>
      <c r="G77" s="5">
        <v>239</v>
      </c>
      <c r="H77" s="5">
        <v>239</v>
      </c>
      <c r="I77" s="5">
        <f>IF(AND(G77&lt;&gt;"",H77&lt;&gt;""),(G77+H77)/2,"")</f>
        <v>239</v>
      </c>
      <c r="J77" s="4">
        <v>62</v>
      </c>
      <c r="K77" s="4">
        <v>62</v>
      </c>
      <c r="L77" s="4">
        <f>IF(AND(J77&lt;&gt;"",K77&lt;&gt;""),(J77+K77)/2,"")</f>
        <v>62</v>
      </c>
      <c r="M77" s="6">
        <f>IF(L77&lt;&gt;"",L77/33.7,"")</f>
        <v>1.8397626112759642</v>
      </c>
      <c r="N77" s="6">
        <f>IF(AND(I77&lt;&gt;"",F77&lt;&gt;""),I77/F77,"")</f>
        <v>1.959016393442623</v>
      </c>
      <c r="O77" s="2" t="s">
        <v>43</v>
      </c>
      <c r="P77" s="2" t="s">
        <v>44</v>
      </c>
      <c r="Q77" s="2"/>
      <c r="R77" s="3" t="s">
        <v>62</v>
      </c>
      <c r="S77" s="3" t="s">
        <v>63</v>
      </c>
      <c r="T77" s="2"/>
      <c r="U77" s="3"/>
      <c r="V77" s="3"/>
      <c r="W77" s="3"/>
      <c r="X77" s="3"/>
      <c r="Y77" s="3" t="str">
        <f>IF(AND(U77&lt;&gt;"",V77&lt;&gt;""),U77*V77,"")</f>
        <v/>
      </c>
      <c r="Z77" s="6"/>
      <c r="AA77" s="6"/>
      <c r="AB77" s="6"/>
      <c r="AC77" s="4"/>
      <c r="AD77" s="4"/>
      <c r="AE77" s="4"/>
      <c r="AF77" s="2"/>
    </row>
    <row r="78" spans="1:32" ht="16" x14ac:dyDescent="0.2">
      <c r="A78" s="3" t="s">
        <v>151</v>
      </c>
      <c r="B78" s="2" t="s">
        <v>389</v>
      </c>
      <c r="C78" s="3">
        <v>2025</v>
      </c>
      <c r="D78" s="3" t="s">
        <v>42</v>
      </c>
      <c r="E78" s="3" t="s">
        <v>35</v>
      </c>
      <c r="F78" s="4">
        <v>66.400000000000006</v>
      </c>
      <c r="G78" s="5">
        <v>204</v>
      </c>
      <c r="H78" s="5">
        <v>212</v>
      </c>
      <c r="I78" s="5">
        <f>IF(AND(G78&lt;&gt;"",H78&lt;&gt;""),(G78+H78)/2,"")</f>
        <v>208</v>
      </c>
      <c r="J78" s="4">
        <v>91</v>
      </c>
      <c r="K78" s="4">
        <v>96</v>
      </c>
      <c r="L78" s="4">
        <f>IF(AND(J78&lt;&gt;"",K78&lt;&gt;""),(J78+K78)/2,"")</f>
        <v>93.5</v>
      </c>
      <c r="M78" s="6">
        <f>IF(L78&lt;&gt;"",L78/33.7,"")</f>
        <v>2.7744807121661719</v>
      </c>
      <c r="N78" s="6">
        <f>IF(AND(I78&lt;&gt;"",F78&lt;&gt;""),I78/F78,"")</f>
        <v>3.1325301204819276</v>
      </c>
      <c r="O78" s="2" t="s">
        <v>43</v>
      </c>
      <c r="P78" s="2" t="s">
        <v>44</v>
      </c>
      <c r="Q78" s="2"/>
      <c r="R78" s="3" t="s">
        <v>390</v>
      </c>
      <c r="S78" s="3" t="s">
        <v>391</v>
      </c>
      <c r="T78" s="2"/>
      <c r="U78" s="3"/>
      <c r="V78" s="3"/>
      <c r="W78" s="3"/>
      <c r="X78" s="3"/>
      <c r="Y78" s="3" t="str">
        <f>IF(AND(U78&lt;&gt;"",V78&lt;&gt;""),U78*V78,"")</f>
        <v/>
      </c>
      <c r="Z78" s="6"/>
      <c r="AA78" s="6"/>
      <c r="AB78" s="6"/>
      <c r="AC78" s="4"/>
      <c r="AD78" s="4"/>
      <c r="AE78" s="4"/>
      <c r="AF78" s="2"/>
    </row>
    <row r="79" spans="1:32" ht="16" x14ac:dyDescent="0.2">
      <c r="A79" s="3" t="s">
        <v>155</v>
      </c>
      <c r="B79" s="2" t="s">
        <v>392</v>
      </c>
      <c r="C79" s="3">
        <v>2025</v>
      </c>
      <c r="D79" s="3" t="s">
        <v>42</v>
      </c>
      <c r="E79" s="3" t="s">
        <v>111</v>
      </c>
      <c r="F79" s="4">
        <v>65.8</v>
      </c>
      <c r="G79" s="5">
        <v>205</v>
      </c>
      <c r="H79" s="5">
        <v>205</v>
      </c>
      <c r="I79" s="5">
        <f>IF(AND(G79&lt;&gt;"",H79&lt;&gt;""),(G79+H79)/2,"")</f>
        <v>205</v>
      </c>
      <c r="J79" s="4">
        <v>95</v>
      </c>
      <c r="K79" s="4">
        <v>95</v>
      </c>
      <c r="L79" s="4">
        <f>IF(AND(J79&lt;&gt;"",K79&lt;&gt;""),(J79+K79)/2,"")</f>
        <v>95</v>
      </c>
      <c r="M79" s="6">
        <f>IF(L79&lt;&gt;"",L79/33.7,"")</f>
        <v>2.8189910979228485</v>
      </c>
      <c r="N79" s="6">
        <f>IF(AND(I79&lt;&gt;"",F79&lt;&gt;""),I79/F79,"")</f>
        <v>3.115501519756839</v>
      </c>
      <c r="O79" s="2" t="s">
        <v>43</v>
      </c>
      <c r="P79" s="2" t="s">
        <v>44</v>
      </c>
      <c r="Q79" s="2"/>
      <c r="R79" s="3" t="s">
        <v>157</v>
      </c>
      <c r="S79" s="3" t="s">
        <v>158</v>
      </c>
      <c r="T79" s="2"/>
      <c r="U79" s="3"/>
      <c r="V79" s="3"/>
      <c r="W79" s="3"/>
      <c r="X79" s="3"/>
      <c r="Y79" s="3" t="str">
        <f>IF(AND(U79&lt;&gt;"",V79&lt;&gt;""),U79*V79,"")</f>
        <v/>
      </c>
      <c r="Z79" s="6"/>
      <c r="AA79" s="6"/>
      <c r="AB79" s="6"/>
      <c r="AC79" s="4"/>
      <c r="AD79" s="4"/>
      <c r="AE79" s="4"/>
      <c r="AF79" s="2"/>
    </row>
    <row r="80" spans="1:32" ht="32" x14ac:dyDescent="0.2">
      <c r="A80" s="3" t="s">
        <v>155</v>
      </c>
      <c r="B80" s="2" t="s">
        <v>393</v>
      </c>
      <c r="C80" s="3">
        <v>2025</v>
      </c>
      <c r="D80" s="3" t="s">
        <v>42</v>
      </c>
      <c r="E80" s="3" t="s">
        <v>111</v>
      </c>
      <c r="F80" s="4">
        <v>90.8</v>
      </c>
      <c r="G80" s="5">
        <v>257</v>
      </c>
      <c r="H80" s="5">
        <v>272</v>
      </c>
      <c r="I80" s="5">
        <f>IF(AND(G80&lt;&gt;"",H80&lt;&gt;""),(G80+H80)/2,"")</f>
        <v>264.5</v>
      </c>
      <c r="J80" s="4">
        <v>87</v>
      </c>
      <c r="K80" s="4">
        <v>92</v>
      </c>
      <c r="L80" s="4">
        <f>IF(AND(J80&lt;&gt;"",K80&lt;&gt;""),(J80+K80)/2,"")</f>
        <v>89.5</v>
      </c>
      <c r="M80" s="6">
        <f>IF(L80&lt;&gt;"",L80/33.7,"")</f>
        <v>2.6557863501483676</v>
      </c>
      <c r="N80" s="6">
        <f>IF(AND(I80&lt;&gt;"",F80&lt;&gt;""),I80/F80,"")</f>
        <v>2.9129955947136565</v>
      </c>
      <c r="O80" s="2" t="s">
        <v>43</v>
      </c>
      <c r="P80" s="2" t="s">
        <v>44</v>
      </c>
      <c r="Q80" s="2"/>
      <c r="R80" s="3" t="s">
        <v>157</v>
      </c>
      <c r="S80" s="3" t="s">
        <v>158</v>
      </c>
      <c r="T80" s="2"/>
      <c r="U80" s="3"/>
      <c r="V80" s="3"/>
      <c r="W80" s="3"/>
      <c r="X80" s="3"/>
      <c r="Y80" s="3" t="str">
        <f>IF(AND(U80&lt;&gt;"",V80&lt;&gt;""),U80*V80,"")</f>
        <v/>
      </c>
      <c r="Z80" s="6"/>
      <c r="AA80" s="6"/>
      <c r="AB80" s="6"/>
      <c r="AC80" s="4"/>
      <c r="AD80" s="4"/>
      <c r="AE80" s="4"/>
      <c r="AF80" s="2"/>
    </row>
    <row r="81" spans="1:32" ht="16" x14ac:dyDescent="0.2">
      <c r="A81" s="3" t="s">
        <v>155</v>
      </c>
      <c r="B81" s="2" t="s">
        <v>394</v>
      </c>
      <c r="C81" s="3">
        <v>2025</v>
      </c>
      <c r="D81" s="3" t="s">
        <v>42</v>
      </c>
      <c r="E81" s="3" t="s">
        <v>74</v>
      </c>
      <c r="F81" s="4">
        <v>90.8</v>
      </c>
      <c r="G81" s="5">
        <v>289</v>
      </c>
      <c r="H81" s="5">
        <v>289</v>
      </c>
      <c r="I81" s="5">
        <f>IF(AND(G81&lt;&gt;"",H81&lt;&gt;""),(G81+H81)/2,"")</f>
        <v>289</v>
      </c>
      <c r="J81" s="4">
        <v>98</v>
      </c>
      <c r="K81" s="4">
        <v>98</v>
      </c>
      <c r="L81" s="4">
        <f>IF(AND(J81&lt;&gt;"",K81&lt;&gt;""),(J81+K81)/2,"")</f>
        <v>98</v>
      </c>
      <c r="M81" s="6">
        <f>IF(L81&lt;&gt;"",L81/33.7,"")</f>
        <v>2.9080118694362014</v>
      </c>
      <c r="N81" s="6">
        <f>IF(AND(I81&lt;&gt;"",F81&lt;&gt;""),I81/F81,"")</f>
        <v>3.1828193832599121</v>
      </c>
      <c r="O81" s="2" t="s">
        <v>43</v>
      </c>
      <c r="P81" s="2" t="s">
        <v>44</v>
      </c>
      <c r="Q81" s="2"/>
      <c r="R81" s="3" t="s">
        <v>157</v>
      </c>
      <c r="S81" s="3" t="s">
        <v>158</v>
      </c>
      <c r="T81" s="2"/>
      <c r="U81" s="3"/>
      <c r="V81" s="3"/>
      <c r="W81" s="3"/>
      <c r="X81" s="3"/>
      <c r="Y81" s="3" t="str">
        <f>IF(AND(U81&lt;&gt;"",V81&lt;&gt;""),U81*V81,"")</f>
        <v/>
      </c>
      <c r="Z81" s="6"/>
      <c r="AA81" s="6"/>
      <c r="AB81" s="6"/>
      <c r="AC81" s="4"/>
      <c r="AD81" s="4"/>
      <c r="AE81" s="4"/>
      <c r="AF81" s="2"/>
    </row>
    <row r="82" spans="1:32" ht="16" x14ac:dyDescent="0.2">
      <c r="A82" s="3" t="s">
        <v>155</v>
      </c>
      <c r="B82" s="2" t="s">
        <v>395</v>
      </c>
      <c r="C82" s="3">
        <v>2025</v>
      </c>
      <c r="D82" s="3" t="s">
        <v>42</v>
      </c>
      <c r="E82" s="3" t="s">
        <v>74</v>
      </c>
      <c r="F82" s="4">
        <v>65.8</v>
      </c>
      <c r="G82" s="5">
        <v>216</v>
      </c>
      <c r="H82" s="5">
        <v>216</v>
      </c>
      <c r="I82" s="5">
        <f>IF(AND(G82&lt;&gt;"",H82&lt;&gt;""),(G82+H82)/2,"")</f>
        <v>216</v>
      </c>
      <c r="J82" s="4">
        <v>101</v>
      </c>
      <c r="K82" s="4">
        <v>101</v>
      </c>
      <c r="L82" s="4">
        <f>IF(AND(J82&lt;&gt;"",K82&lt;&gt;""),(J82+K82)/2,"")</f>
        <v>101</v>
      </c>
      <c r="M82" s="6">
        <f>IF(L82&lt;&gt;"",L82/33.7,"")</f>
        <v>2.9970326409495547</v>
      </c>
      <c r="N82" s="6">
        <f>IF(AND(I82&lt;&gt;"",F82&lt;&gt;""),I82/F82,"")</f>
        <v>3.2826747720364744</v>
      </c>
      <c r="O82" s="2" t="s">
        <v>43</v>
      </c>
      <c r="P82" s="2" t="s">
        <v>44</v>
      </c>
      <c r="Q82" s="2"/>
      <c r="R82" s="3" t="s">
        <v>157</v>
      </c>
      <c r="S82" s="3" t="s">
        <v>158</v>
      </c>
      <c r="T82" s="2"/>
      <c r="U82" s="3"/>
      <c r="V82" s="3"/>
      <c r="W82" s="3"/>
      <c r="X82" s="3"/>
      <c r="Y82" s="3" t="str">
        <f>IF(AND(U82&lt;&gt;"",V82&lt;&gt;""),U82*V82,"")</f>
        <v/>
      </c>
      <c r="Z82" s="6"/>
      <c r="AA82" s="6"/>
      <c r="AB82" s="6"/>
      <c r="AC82" s="4"/>
      <c r="AD82" s="4"/>
      <c r="AE82" s="4"/>
      <c r="AF82" s="2"/>
    </row>
    <row r="83" spans="1:32" ht="16" x14ac:dyDescent="0.2">
      <c r="A83" s="3" t="s">
        <v>155</v>
      </c>
      <c r="B83" s="2" t="s">
        <v>162</v>
      </c>
      <c r="C83" s="3">
        <v>2025</v>
      </c>
      <c r="D83" s="3" t="s">
        <v>34</v>
      </c>
      <c r="E83" s="3" t="s">
        <v>74</v>
      </c>
      <c r="F83" s="4">
        <v>60.6</v>
      </c>
      <c r="G83" s="5">
        <v>212</v>
      </c>
      <c r="H83" s="5">
        <v>212</v>
      </c>
      <c r="I83" s="5">
        <f>IF(AND(G83&lt;&gt;"",H83&lt;&gt;""),(G83+H83)/2,"")</f>
        <v>212</v>
      </c>
      <c r="J83" s="4">
        <v>109</v>
      </c>
      <c r="K83" s="4">
        <v>109</v>
      </c>
      <c r="L83" s="4">
        <f>IF(AND(J83&lt;&gt;"",K83&lt;&gt;""),(J83+K83)/2,"")</f>
        <v>109</v>
      </c>
      <c r="M83" s="6">
        <f>IF(L83&lt;&gt;"",L83/33.7,"")</f>
        <v>3.2344213649851628</v>
      </c>
      <c r="N83" s="6">
        <f>IF(AND(I83&lt;&gt;"",F83&lt;&gt;""),I83/F83,"")</f>
        <v>3.4983498349834981</v>
      </c>
      <c r="O83" s="2" t="s">
        <v>43</v>
      </c>
      <c r="P83" s="2" t="s">
        <v>44</v>
      </c>
      <c r="Q83" s="2"/>
      <c r="R83" s="3" t="s">
        <v>163</v>
      </c>
      <c r="S83" s="3" t="s">
        <v>164</v>
      </c>
      <c r="T83" s="2"/>
      <c r="U83" s="3"/>
      <c r="V83" s="3"/>
      <c r="W83" s="3"/>
      <c r="X83" s="3"/>
      <c r="Y83" s="3" t="str">
        <f>IF(AND(U83&lt;&gt;"",V83&lt;&gt;""),U83*V83,"")</f>
        <v/>
      </c>
      <c r="Z83" s="6"/>
      <c r="AA83" s="6"/>
      <c r="AB83" s="6"/>
      <c r="AC83" s="4"/>
      <c r="AD83" s="4"/>
      <c r="AE83" s="4"/>
      <c r="AF83" s="2"/>
    </row>
    <row r="84" spans="1:32" ht="16" x14ac:dyDescent="0.2">
      <c r="A84" s="3" t="s">
        <v>155</v>
      </c>
      <c r="B84" s="2" t="s">
        <v>162</v>
      </c>
      <c r="C84" s="3">
        <v>2025</v>
      </c>
      <c r="D84" s="3" t="s">
        <v>34</v>
      </c>
      <c r="E84" s="3" t="s">
        <v>74</v>
      </c>
      <c r="F84" s="4">
        <v>40.299999999999997</v>
      </c>
      <c r="G84" s="5">
        <v>149</v>
      </c>
      <c r="H84" s="5">
        <v>149</v>
      </c>
      <c r="I84" s="5">
        <f>IF(AND(G84&lt;&gt;"",H84&lt;&gt;""),(G84+H84)/2,"")</f>
        <v>149</v>
      </c>
      <c r="J84" s="4">
        <v>111</v>
      </c>
      <c r="K84" s="4">
        <v>111</v>
      </c>
      <c r="L84" s="4">
        <f>IF(AND(J84&lt;&gt;"",K84&lt;&gt;""),(J84+K84)/2,"")</f>
        <v>111</v>
      </c>
      <c r="M84" s="6">
        <f>IF(L84&lt;&gt;"",L84/33.7,"")</f>
        <v>3.2937685459940651</v>
      </c>
      <c r="N84" s="6">
        <f>IF(AND(I84&lt;&gt;"",F84&lt;&gt;""),I84/F84,"")</f>
        <v>3.6972704714640203</v>
      </c>
      <c r="O84" s="2" t="s">
        <v>43</v>
      </c>
      <c r="P84" s="2" t="s">
        <v>44</v>
      </c>
      <c r="Q84" s="2"/>
      <c r="R84" s="3" t="s">
        <v>163</v>
      </c>
      <c r="S84" s="3" t="s">
        <v>164</v>
      </c>
      <c r="T84" s="2"/>
      <c r="U84" s="3"/>
      <c r="V84" s="3"/>
      <c r="W84" s="3"/>
      <c r="X84" s="3"/>
      <c r="Y84" s="3" t="str">
        <f>IF(AND(U84&lt;&gt;"",V84&lt;&gt;""),U84*V84,"")</f>
        <v/>
      </c>
      <c r="Z84" s="6"/>
      <c r="AA84" s="6"/>
      <c r="AB84" s="6"/>
      <c r="AC84" s="4"/>
      <c r="AD84" s="4"/>
      <c r="AE84" s="4"/>
      <c r="AF84" s="2"/>
    </row>
    <row r="85" spans="1:32" ht="16" x14ac:dyDescent="0.2">
      <c r="A85" s="3" t="s">
        <v>166</v>
      </c>
      <c r="B85" s="2" t="s">
        <v>396</v>
      </c>
      <c r="C85" s="3">
        <v>2025</v>
      </c>
      <c r="D85" s="3" t="s">
        <v>34</v>
      </c>
      <c r="E85" s="3" t="s">
        <v>35</v>
      </c>
      <c r="F85" s="4">
        <v>81.599999999999994</v>
      </c>
      <c r="G85" s="5">
        <v>254</v>
      </c>
      <c r="H85" s="5">
        <v>278</v>
      </c>
      <c r="I85" s="5">
        <f>IF(AND(G85&lt;&gt;"",H85&lt;&gt;""),(G85+H85)/2,"")</f>
        <v>266</v>
      </c>
      <c r="J85" s="4">
        <v>91</v>
      </c>
      <c r="K85" s="4">
        <v>101</v>
      </c>
      <c r="L85" s="4">
        <f>IF(AND(J85&lt;&gt;"",K85&lt;&gt;""),(J85+K85)/2,"")</f>
        <v>96</v>
      </c>
      <c r="M85" s="6">
        <f>IF(L85&lt;&gt;"",L85/33.7,"")</f>
        <v>2.8486646884272995</v>
      </c>
      <c r="N85" s="6">
        <f>IF(AND(I85&lt;&gt;"",F85&lt;&gt;""),I85/F85,"")</f>
        <v>3.2598039215686279</v>
      </c>
      <c r="O85" s="2" t="s">
        <v>43</v>
      </c>
      <c r="P85" s="2" t="s">
        <v>44</v>
      </c>
      <c r="Q85" s="2"/>
      <c r="R85" s="3" t="s">
        <v>397</v>
      </c>
      <c r="S85" s="3" t="s">
        <v>168</v>
      </c>
      <c r="T85" s="2"/>
      <c r="U85" s="3"/>
      <c r="V85" s="3"/>
      <c r="W85" s="3"/>
      <c r="X85" s="3"/>
      <c r="Y85" s="3" t="str">
        <f>IF(AND(U85&lt;&gt;"",V85&lt;&gt;""),U85*V85,"")</f>
        <v/>
      </c>
      <c r="Z85" s="6"/>
      <c r="AA85" s="6"/>
      <c r="AB85" s="6"/>
      <c r="AC85" s="4"/>
      <c r="AD85" s="4"/>
      <c r="AE85" s="4"/>
      <c r="AF85" s="2"/>
    </row>
    <row r="86" spans="1:32" ht="16" x14ac:dyDescent="0.2">
      <c r="A86" s="3" t="s">
        <v>166</v>
      </c>
      <c r="B86" s="2" t="s">
        <v>398</v>
      </c>
      <c r="C86" s="3">
        <v>2025</v>
      </c>
      <c r="D86" s="3" t="s">
        <v>34</v>
      </c>
      <c r="E86" s="3" t="s">
        <v>50</v>
      </c>
      <c r="F86" s="4">
        <v>81.599999999999994</v>
      </c>
      <c r="G86" s="5">
        <v>300</v>
      </c>
      <c r="H86" s="5">
        <v>314</v>
      </c>
      <c r="I86" s="5">
        <f>IF(AND(G86&lt;&gt;"",H86&lt;&gt;""),(G86+H86)/2,"")</f>
        <v>307</v>
      </c>
      <c r="J86" s="4">
        <v>109</v>
      </c>
      <c r="K86" s="4">
        <v>114</v>
      </c>
      <c r="L86" s="4">
        <f>IF(AND(J86&lt;&gt;"",K86&lt;&gt;""),(J86+K86)/2,"")</f>
        <v>111.5</v>
      </c>
      <c r="M86" s="6">
        <f>IF(L86&lt;&gt;"",L86/33.7,"")</f>
        <v>3.3086053412462904</v>
      </c>
      <c r="N86" s="6">
        <f>IF(AND(I86&lt;&gt;"",F86&lt;&gt;""),I86/F86,"")</f>
        <v>3.7622549019607847</v>
      </c>
      <c r="O86" s="2" t="s">
        <v>43</v>
      </c>
      <c r="P86" s="2" t="s">
        <v>44</v>
      </c>
      <c r="Q86" s="2"/>
      <c r="R86" s="3" t="s">
        <v>397</v>
      </c>
      <c r="S86" s="3" t="s">
        <v>168</v>
      </c>
      <c r="T86" s="2"/>
      <c r="U86" s="3"/>
      <c r="V86" s="3"/>
      <c r="W86" s="3"/>
      <c r="X86" s="3"/>
      <c r="Y86" s="3" t="str">
        <f>IF(AND(U86&lt;&gt;"",V86&lt;&gt;""),U86*V86,"")</f>
        <v/>
      </c>
      <c r="Z86" s="6"/>
      <c r="AA86" s="6"/>
      <c r="AB86" s="6"/>
      <c r="AC86" s="4"/>
      <c r="AD86" s="4"/>
      <c r="AE86" s="4"/>
      <c r="AF86" s="2"/>
    </row>
    <row r="87" spans="1:32" ht="16" x14ac:dyDescent="0.2">
      <c r="A87" s="3" t="s">
        <v>166</v>
      </c>
      <c r="B87" s="2" t="s">
        <v>399</v>
      </c>
      <c r="C87" s="3">
        <v>2025</v>
      </c>
      <c r="D87" s="3" t="s">
        <v>42</v>
      </c>
      <c r="E87" s="3" t="s">
        <v>35</v>
      </c>
      <c r="F87" s="4">
        <v>111</v>
      </c>
      <c r="G87" s="5">
        <v>279</v>
      </c>
      <c r="H87" s="5">
        <v>315</v>
      </c>
      <c r="I87" s="5">
        <f>IF(AND(G87&lt;&gt;"",H87&lt;&gt;""),(G87+H87)/2,"")</f>
        <v>297</v>
      </c>
      <c r="J87" s="4">
        <v>77</v>
      </c>
      <c r="K87" s="4">
        <v>88</v>
      </c>
      <c r="L87" s="4">
        <f>IF(AND(J87&lt;&gt;"",K87&lt;&gt;""),(J87+K87)/2,"")</f>
        <v>82.5</v>
      </c>
      <c r="M87" s="6">
        <f>IF(L87&lt;&gt;"",L87/33.7,"")</f>
        <v>2.4480712166172105</v>
      </c>
      <c r="N87" s="6">
        <f>IF(AND(I87&lt;&gt;"",F87&lt;&gt;""),I87/F87,"")</f>
        <v>2.6756756756756759</v>
      </c>
      <c r="O87" s="2" t="s">
        <v>43</v>
      </c>
      <c r="P87" s="2" t="s">
        <v>44</v>
      </c>
      <c r="Q87" s="2"/>
      <c r="R87" s="3" t="s">
        <v>400</v>
      </c>
      <c r="S87" s="3" t="s">
        <v>401</v>
      </c>
      <c r="T87" s="2"/>
      <c r="U87" s="3"/>
      <c r="V87" s="3"/>
      <c r="W87" s="3"/>
      <c r="X87" s="3"/>
      <c r="Y87" s="3" t="str">
        <f>IF(AND(U87&lt;&gt;"",V87&lt;&gt;""),U87*V87,"")</f>
        <v/>
      </c>
      <c r="Z87" s="6"/>
      <c r="AA87" s="6"/>
      <c r="AB87" s="6"/>
      <c r="AC87" s="4"/>
      <c r="AD87" s="4"/>
      <c r="AE87" s="4"/>
      <c r="AF87" s="2"/>
    </row>
    <row r="88" spans="1:32" ht="16" x14ac:dyDescent="0.2">
      <c r="A88" s="3" t="s">
        <v>166</v>
      </c>
      <c r="B88" s="2" t="s">
        <v>402</v>
      </c>
      <c r="C88" s="3">
        <v>2025</v>
      </c>
      <c r="D88" s="3" t="s">
        <v>42</v>
      </c>
      <c r="E88" s="3" t="s">
        <v>50</v>
      </c>
      <c r="F88" s="4">
        <v>111</v>
      </c>
      <c r="G88" s="5">
        <v>333</v>
      </c>
      <c r="H88" s="5">
        <v>350</v>
      </c>
      <c r="I88" s="5">
        <f>IF(AND(G88&lt;&gt;"",H88&lt;&gt;""),(G88+H88)/2,"")</f>
        <v>341.5</v>
      </c>
      <c r="J88" s="4">
        <v>91</v>
      </c>
      <c r="K88" s="4">
        <v>95</v>
      </c>
      <c r="L88" s="4">
        <f>IF(AND(J88&lt;&gt;"",K88&lt;&gt;""),(J88+K88)/2,"")</f>
        <v>93</v>
      </c>
      <c r="M88" s="6">
        <f>IF(L88&lt;&gt;"",L88/33.7,"")</f>
        <v>2.7596439169139462</v>
      </c>
      <c r="N88" s="6">
        <f>IF(AND(I88&lt;&gt;"",F88&lt;&gt;""),I88/F88,"")</f>
        <v>3.0765765765765765</v>
      </c>
      <c r="O88" s="2" t="s">
        <v>43</v>
      </c>
      <c r="P88" s="2" t="s">
        <v>44</v>
      </c>
      <c r="Q88" s="2"/>
      <c r="R88" s="3" t="s">
        <v>400</v>
      </c>
      <c r="S88" s="3" t="s">
        <v>401</v>
      </c>
      <c r="T88" s="2"/>
      <c r="U88" s="3"/>
      <c r="V88" s="3"/>
      <c r="W88" s="3"/>
      <c r="X88" s="3"/>
      <c r="Y88" s="3" t="str">
        <f>IF(AND(U88&lt;&gt;"",V88&lt;&gt;""),U88*V88,"")</f>
        <v/>
      </c>
      <c r="Z88" s="6"/>
      <c r="AA88" s="6"/>
      <c r="AB88" s="6"/>
      <c r="AC88" s="4"/>
      <c r="AD88" s="4"/>
      <c r="AE88" s="4"/>
      <c r="AF88" s="2"/>
    </row>
    <row r="89" spans="1:32" ht="16" x14ac:dyDescent="0.2">
      <c r="A89" s="3" t="s">
        <v>166</v>
      </c>
      <c r="B89" s="2" t="s">
        <v>403</v>
      </c>
      <c r="C89" s="3">
        <v>2025</v>
      </c>
      <c r="D89" s="3" t="s">
        <v>42</v>
      </c>
      <c r="E89" s="3" t="s">
        <v>35</v>
      </c>
      <c r="F89" s="4">
        <v>100.1</v>
      </c>
      <c r="G89" s="5">
        <v>272</v>
      </c>
      <c r="H89" s="5">
        <v>272</v>
      </c>
      <c r="I89" s="5">
        <f>IF(AND(G89&lt;&gt;"",H89&lt;&gt;""),(G89+H89)/2,"")</f>
        <v>272</v>
      </c>
      <c r="J89" s="4">
        <v>83</v>
      </c>
      <c r="K89" s="4">
        <v>83</v>
      </c>
      <c r="L89" s="4">
        <f>IF(AND(J89&lt;&gt;"",K89&lt;&gt;""),(J89+K89)/2,"")</f>
        <v>83</v>
      </c>
      <c r="M89" s="6">
        <f>IF(L89&lt;&gt;"",L89/33.7,"")</f>
        <v>2.4629080118694362</v>
      </c>
      <c r="N89" s="6">
        <f>IF(AND(I89&lt;&gt;"",F89&lt;&gt;""),I89/F89,"")</f>
        <v>2.7172827172827176</v>
      </c>
      <c r="O89" s="2" t="s">
        <v>43</v>
      </c>
      <c r="P89" s="2" t="s">
        <v>44</v>
      </c>
      <c r="Q89" s="2"/>
      <c r="R89" s="3" t="s">
        <v>62</v>
      </c>
      <c r="S89" s="3" t="s">
        <v>63</v>
      </c>
      <c r="T89" s="2"/>
      <c r="U89" s="3"/>
      <c r="V89" s="3"/>
      <c r="W89" s="3"/>
      <c r="X89" s="3"/>
      <c r="Y89" s="3" t="str">
        <f>IF(AND(U89&lt;&gt;"",V89&lt;&gt;""),U89*V89,"")</f>
        <v/>
      </c>
      <c r="Z89" s="6"/>
      <c r="AA89" s="6"/>
      <c r="AB89" s="6"/>
      <c r="AC89" s="4"/>
      <c r="AD89" s="4"/>
      <c r="AE89" s="4"/>
      <c r="AF89" s="2"/>
    </row>
    <row r="90" spans="1:32" ht="16" x14ac:dyDescent="0.2">
      <c r="A90" s="3" t="s">
        <v>166</v>
      </c>
      <c r="B90" s="2" t="s">
        <v>404</v>
      </c>
      <c r="C90" s="3">
        <v>2025</v>
      </c>
      <c r="D90" s="3" t="s">
        <v>42</v>
      </c>
      <c r="E90" s="3" t="s">
        <v>50</v>
      </c>
      <c r="F90" s="4">
        <v>100.1</v>
      </c>
      <c r="G90" s="5">
        <v>300</v>
      </c>
      <c r="H90" s="5">
        <v>300</v>
      </c>
      <c r="I90" s="5">
        <f>IF(AND(G90&lt;&gt;"",H90&lt;&gt;""),(G90+H90)/2,"")</f>
        <v>300</v>
      </c>
      <c r="J90" s="4">
        <v>90</v>
      </c>
      <c r="K90" s="4">
        <v>90</v>
      </c>
      <c r="L90" s="4">
        <f>IF(AND(J90&lt;&gt;"",K90&lt;&gt;""),(J90+K90)/2,"")</f>
        <v>90</v>
      </c>
      <c r="M90" s="6">
        <f>IF(L90&lt;&gt;"",L90/33.7,"")</f>
        <v>2.6706231454005933</v>
      </c>
      <c r="N90" s="6">
        <f>IF(AND(I90&lt;&gt;"",F90&lt;&gt;""),I90/F90,"")</f>
        <v>2.9970029970029972</v>
      </c>
      <c r="O90" s="2" t="s">
        <v>43</v>
      </c>
      <c r="P90" s="2" t="s">
        <v>44</v>
      </c>
      <c r="Q90" s="2"/>
      <c r="R90" s="3" t="s">
        <v>62</v>
      </c>
      <c r="S90" s="3" t="s">
        <v>63</v>
      </c>
      <c r="T90" s="2"/>
      <c r="U90" s="3"/>
      <c r="V90" s="3"/>
      <c r="W90" s="3"/>
      <c r="X90" s="3"/>
      <c r="Y90" s="3" t="str">
        <f>IF(AND(U90&lt;&gt;"",V90&lt;&gt;""),U90*V90,"")</f>
        <v/>
      </c>
      <c r="Z90" s="6"/>
      <c r="AA90" s="6"/>
      <c r="AB90" s="6"/>
      <c r="AC90" s="4"/>
      <c r="AD90" s="4"/>
      <c r="AE90" s="4"/>
      <c r="AF90" s="2"/>
    </row>
    <row r="91" spans="1:32" ht="80" x14ac:dyDescent="0.2">
      <c r="A91" s="3" t="s">
        <v>170</v>
      </c>
      <c r="B91" s="2" t="s">
        <v>405</v>
      </c>
      <c r="C91" s="3">
        <v>2025</v>
      </c>
      <c r="D91" s="3" t="s">
        <v>42</v>
      </c>
      <c r="E91" s="3" t="s">
        <v>35</v>
      </c>
      <c r="F91" s="4">
        <v>140.1</v>
      </c>
      <c r="G91" s="5">
        <v>288</v>
      </c>
      <c r="H91" s="5">
        <v>308</v>
      </c>
      <c r="I91" s="5">
        <f>IF(AND(G91&lt;&gt;"",H91&lt;&gt;""),(G91+H91)/2,"")</f>
        <v>298</v>
      </c>
      <c r="J91" s="4">
        <v>91</v>
      </c>
      <c r="K91" s="4">
        <v>98</v>
      </c>
      <c r="L91" s="4">
        <f>IF(AND(J91&lt;&gt;"",K91&lt;&gt;""),(J91+K91)/2,"")</f>
        <v>94.5</v>
      </c>
      <c r="M91" s="6">
        <f>IF(L91&lt;&gt;"",L91/33.7,"")</f>
        <v>2.8041543026706228</v>
      </c>
      <c r="N91" s="6">
        <f>IF(AND(I91&lt;&gt;"",F91&lt;&gt;""),I91/F91,"")</f>
        <v>2.1270521056388296</v>
      </c>
      <c r="O91" s="2" t="s">
        <v>36</v>
      </c>
      <c r="P91" s="2" t="s">
        <v>37</v>
      </c>
      <c r="Q91" s="2" t="s">
        <v>172</v>
      </c>
      <c r="R91" s="3" t="s">
        <v>173</v>
      </c>
      <c r="S91" s="3" t="s">
        <v>327</v>
      </c>
      <c r="T91" s="2"/>
      <c r="U91" s="3"/>
      <c r="V91" s="3"/>
      <c r="W91" s="3"/>
      <c r="X91" s="3"/>
      <c r="Y91" s="3" t="str">
        <f>IF(AND(U91&lt;&gt;"",V91&lt;&gt;""),U91*V91,"")</f>
        <v/>
      </c>
      <c r="Z91" s="6"/>
      <c r="AA91" s="6"/>
      <c r="AB91" s="6"/>
      <c r="AC91" s="4"/>
      <c r="AD91" s="4"/>
      <c r="AE91" s="4"/>
      <c r="AF91" s="2"/>
    </row>
    <row r="92" spans="1:32" ht="80" x14ac:dyDescent="0.2">
      <c r="A92" s="3" t="s">
        <v>170</v>
      </c>
      <c r="B92" s="2" t="s">
        <v>406</v>
      </c>
      <c r="C92" s="3">
        <v>2025</v>
      </c>
      <c r="D92" s="3" t="s">
        <v>34</v>
      </c>
      <c r="E92" s="3" t="s">
        <v>35</v>
      </c>
      <c r="F92" s="4">
        <v>109.7</v>
      </c>
      <c r="G92" s="5">
        <v>252</v>
      </c>
      <c r="H92" s="5">
        <v>315</v>
      </c>
      <c r="I92" s="5">
        <f>IF(AND(G92&lt;&gt;"",H92&lt;&gt;""),(G92+H92)/2,"")</f>
        <v>283.5</v>
      </c>
      <c r="J92" s="4">
        <v>80</v>
      </c>
      <c r="K92" s="4">
        <v>93</v>
      </c>
      <c r="L92" s="4">
        <f>IF(AND(J92&lt;&gt;"",K92&lt;&gt;""),(J92+K92)/2,"")</f>
        <v>86.5</v>
      </c>
      <c r="M92" s="6">
        <f>IF(L92&lt;&gt;"",L92/33.7,"")</f>
        <v>2.5667655786350148</v>
      </c>
      <c r="N92" s="6">
        <f>IF(AND(I92&lt;&gt;"",F92&lt;&gt;""),I92/F92,"")</f>
        <v>2.584320875113947</v>
      </c>
      <c r="O92" s="2" t="s">
        <v>36</v>
      </c>
      <c r="P92" s="2" t="s">
        <v>37</v>
      </c>
      <c r="Q92" s="2" t="s">
        <v>172</v>
      </c>
      <c r="R92" s="3" t="s">
        <v>173</v>
      </c>
      <c r="S92" s="3" t="s">
        <v>174</v>
      </c>
      <c r="T92" s="2" t="s">
        <v>175</v>
      </c>
      <c r="U92" s="3">
        <v>198</v>
      </c>
      <c r="V92" s="3">
        <v>2</v>
      </c>
      <c r="W92" s="3">
        <v>33</v>
      </c>
      <c r="X92" s="3">
        <v>12</v>
      </c>
      <c r="Y92" s="3">
        <f>IF(AND(U92&lt;&gt;"",V92&lt;&gt;""),U92*V92,"")</f>
        <v>396</v>
      </c>
      <c r="Z92" s="6">
        <v>3.6515151515151509</v>
      </c>
      <c r="AA92" s="6">
        <v>4.2</v>
      </c>
      <c r="AB92" s="6"/>
      <c r="AC92" s="4">
        <f>U92*Z92</f>
        <v>722.99999999999989</v>
      </c>
      <c r="AD92" s="4">
        <f>U92*AA92</f>
        <v>831.6</v>
      </c>
      <c r="AE92" s="4"/>
      <c r="AF92" s="2" t="s">
        <v>176</v>
      </c>
    </row>
    <row r="93" spans="1:32" ht="80" x14ac:dyDescent="0.2">
      <c r="A93" s="3" t="s">
        <v>170</v>
      </c>
      <c r="B93" s="2" t="s">
        <v>179</v>
      </c>
      <c r="C93" s="3">
        <v>2025</v>
      </c>
      <c r="D93" s="3" t="s">
        <v>34</v>
      </c>
      <c r="E93" s="3" t="s">
        <v>50</v>
      </c>
      <c r="F93" s="4">
        <v>122.4</v>
      </c>
      <c r="G93" s="5">
        <v>274</v>
      </c>
      <c r="H93" s="5">
        <v>318</v>
      </c>
      <c r="I93" s="5">
        <f>IF(AND(G93&lt;&gt;"",H93&lt;&gt;""),(G93+H93)/2,"")</f>
        <v>296</v>
      </c>
      <c r="J93" s="4">
        <v>91</v>
      </c>
      <c r="K93" s="4">
        <v>92</v>
      </c>
      <c r="L93" s="4">
        <f>IF(AND(J93&lt;&gt;"",K93&lt;&gt;""),(J93+K93)/2,"")</f>
        <v>91.5</v>
      </c>
      <c r="M93" s="6">
        <f>IF(L93&lt;&gt;"",L93/33.7,"")</f>
        <v>2.71513353115727</v>
      </c>
      <c r="N93" s="6">
        <f>IF(AND(I93&lt;&gt;"",F93&lt;&gt;""),I93/F93,"")</f>
        <v>2.4183006535947711</v>
      </c>
      <c r="O93" s="2" t="s">
        <v>36</v>
      </c>
      <c r="P93" s="2" t="s">
        <v>37</v>
      </c>
      <c r="Q93" s="2" t="s">
        <v>172</v>
      </c>
      <c r="R93" s="3" t="s">
        <v>173</v>
      </c>
      <c r="S93" s="3" t="s">
        <v>174</v>
      </c>
      <c r="T93" s="2" t="s">
        <v>175</v>
      </c>
      <c r="U93" s="3">
        <v>198</v>
      </c>
      <c r="V93" s="3">
        <v>2</v>
      </c>
      <c r="W93" s="3">
        <v>33</v>
      </c>
      <c r="X93" s="3">
        <v>12</v>
      </c>
      <c r="Y93" s="3">
        <f>IF(AND(U93&lt;&gt;"",V93&lt;&gt;""),U93*V93,"")</f>
        <v>396</v>
      </c>
      <c r="Z93" s="6">
        <v>3.6515151515151509</v>
      </c>
      <c r="AA93" s="6">
        <v>4.2</v>
      </c>
      <c r="AB93" s="6"/>
      <c r="AC93" s="4">
        <f>U93*Z93</f>
        <v>722.99999999999989</v>
      </c>
      <c r="AD93" s="4">
        <f>U93*AA93</f>
        <v>831.6</v>
      </c>
      <c r="AE93" s="4"/>
      <c r="AF93" s="2" t="s">
        <v>176</v>
      </c>
    </row>
    <row r="94" spans="1:32" ht="80" x14ac:dyDescent="0.2">
      <c r="A94" s="3" t="s">
        <v>170</v>
      </c>
      <c r="B94" s="2" t="s">
        <v>331</v>
      </c>
      <c r="C94" s="3">
        <v>2025</v>
      </c>
      <c r="D94" s="3" t="s">
        <v>34</v>
      </c>
      <c r="E94" s="3" t="s">
        <v>35</v>
      </c>
      <c r="F94" s="4">
        <v>109.7</v>
      </c>
      <c r="G94" s="5">
        <v>261</v>
      </c>
      <c r="H94" s="5">
        <v>317</v>
      </c>
      <c r="I94" s="5">
        <f>IF(AND(G94&lt;&gt;"",H94&lt;&gt;""),(G94+H94)/2,"")</f>
        <v>289</v>
      </c>
      <c r="J94" s="4">
        <v>77</v>
      </c>
      <c r="K94" s="4">
        <v>93</v>
      </c>
      <c r="L94" s="4">
        <f>IF(AND(J94&lt;&gt;"",K94&lt;&gt;""),(J94+K94)/2,"")</f>
        <v>85</v>
      </c>
      <c r="M94" s="6">
        <f>IF(L94&lt;&gt;"",L94/33.7,"")</f>
        <v>2.5222551928783381</v>
      </c>
      <c r="N94" s="6">
        <f>IF(AND(I94&lt;&gt;"",F94&lt;&gt;""),I94/F94,"")</f>
        <v>2.6344576116681857</v>
      </c>
      <c r="O94" s="2" t="s">
        <v>36</v>
      </c>
      <c r="P94" s="2" t="s">
        <v>37</v>
      </c>
      <c r="Q94" s="2" t="s">
        <v>172</v>
      </c>
      <c r="R94" s="3" t="s">
        <v>173</v>
      </c>
      <c r="S94" s="3" t="s">
        <v>174</v>
      </c>
      <c r="T94" s="2" t="s">
        <v>175</v>
      </c>
      <c r="U94" s="3">
        <v>198</v>
      </c>
      <c r="V94" s="3">
        <v>2</v>
      </c>
      <c r="W94" s="3">
        <v>33</v>
      </c>
      <c r="X94" s="3">
        <v>12</v>
      </c>
      <c r="Y94" s="3">
        <f>IF(AND(U94&lt;&gt;"",V94&lt;&gt;""),U94*V94,"")</f>
        <v>396</v>
      </c>
      <c r="Z94" s="6">
        <v>3.6515151515151509</v>
      </c>
      <c r="AA94" s="6">
        <v>4.2</v>
      </c>
      <c r="AB94" s="6"/>
      <c r="AC94" s="4">
        <f>U94*Z94</f>
        <v>722.99999999999989</v>
      </c>
      <c r="AD94" s="4">
        <f>U94*AA94</f>
        <v>831.6</v>
      </c>
      <c r="AE94" s="4"/>
      <c r="AF94" s="2" t="s">
        <v>176</v>
      </c>
    </row>
    <row r="95" spans="1:32" ht="16" x14ac:dyDescent="0.2">
      <c r="A95" s="3" t="s">
        <v>180</v>
      </c>
      <c r="B95" s="2" t="s">
        <v>333</v>
      </c>
      <c r="C95" s="3">
        <v>2025</v>
      </c>
      <c r="D95" s="3" t="s">
        <v>42</v>
      </c>
      <c r="E95" s="3" t="s">
        <v>111</v>
      </c>
      <c r="F95" s="4">
        <v>149.69999999999999</v>
      </c>
      <c r="G95" s="5">
        <v>292</v>
      </c>
      <c r="H95" s="5">
        <v>410</v>
      </c>
      <c r="I95" s="5">
        <f>IF(AND(G95&lt;&gt;"",H95&lt;&gt;""),(G95+H95)/2,"")</f>
        <v>351</v>
      </c>
      <c r="J95" s="4">
        <v>72</v>
      </c>
      <c r="K95" s="4">
        <v>84</v>
      </c>
      <c r="L95" s="4">
        <f>IF(AND(J95&lt;&gt;"",K95&lt;&gt;""),(J95+K95)/2,"")</f>
        <v>78</v>
      </c>
      <c r="M95" s="6">
        <f>IF(L95&lt;&gt;"",L95/33.7,"")</f>
        <v>2.314540059347181</v>
      </c>
      <c r="N95" s="6">
        <f>IF(AND(I95&lt;&gt;"",F95&lt;&gt;""),I95/F95,"")</f>
        <v>2.3446893787575154</v>
      </c>
      <c r="O95" s="2" t="s">
        <v>43</v>
      </c>
      <c r="P95" s="2" t="s">
        <v>44</v>
      </c>
      <c r="Q95" s="2"/>
      <c r="R95" s="3" t="s">
        <v>186</v>
      </c>
      <c r="S95" s="3" t="s">
        <v>183</v>
      </c>
      <c r="T95" s="2"/>
      <c r="U95" s="3"/>
      <c r="V95" s="3"/>
      <c r="W95" s="3"/>
      <c r="X95" s="3"/>
      <c r="Y95" s="3" t="str">
        <f>IF(AND(U95&lt;&gt;"",V95&lt;&gt;""),U95*V95,"")</f>
        <v/>
      </c>
      <c r="Z95" s="6"/>
      <c r="AA95" s="6"/>
      <c r="AB95" s="6"/>
      <c r="AC95" s="4"/>
      <c r="AD95" s="4"/>
      <c r="AE95" s="4"/>
      <c r="AF95" s="2"/>
    </row>
    <row r="96" spans="1:32" ht="16" x14ac:dyDescent="0.2">
      <c r="A96" s="3" t="s">
        <v>180</v>
      </c>
      <c r="B96" s="2" t="s">
        <v>407</v>
      </c>
      <c r="C96" s="3">
        <v>2025</v>
      </c>
      <c r="D96" s="3" t="s">
        <v>42</v>
      </c>
      <c r="E96" s="3" t="s">
        <v>111</v>
      </c>
      <c r="F96" s="4">
        <v>116.1</v>
      </c>
      <c r="G96" s="5">
        <v>289</v>
      </c>
      <c r="H96" s="5">
        <v>329</v>
      </c>
      <c r="I96" s="5">
        <f>IF(AND(G96&lt;&gt;"",H96&lt;&gt;""),(G96+H96)/2,"")</f>
        <v>309</v>
      </c>
      <c r="J96" s="4">
        <v>76</v>
      </c>
      <c r="K96" s="4">
        <v>85</v>
      </c>
      <c r="L96" s="4">
        <f>IF(AND(J96&lt;&gt;"",K96&lt;&gt;""),(J96+K96)/2,"")</f>
        <v>80.5</v>
      </c>
      <c r="M96" s="6">
        <f>IF(L96&lt;&gt;"",L96/33.7,"")</f>
        <v>2.3887240356083086</v>
      </c>
      <c r="N96" s="6">
        <f>IF(AND(I96&lt;&gt;"",F96&lt;&gt;""),I96/F96,"")</f>
        <v>2.6614987080103361</v>
      </c>
      <c r="O96" s="2" t="s">
        <v>43</v>
      </c>
      <c r="P96" s="2" t="s">
        <v>44</v>
      </c>
      <c r="Q96" s="2"/>
      <c r="R96" s="3" t="s">
        <v>186</v>
      </c>
      <c r="S96" s="3" t="s">
        <v>408</v>
      </c>
      <c r="T96" s="2"/>
      <c r="U96" s="3"/>
      <c r="V96" s="3"/>
      <c r="W96" s="3"/>
      <c r="X96" s="3"/>
      <c r="Y96" s="3" t="str">
        <f>IF(AND(U96&lt;&gt;"",V96&lt;&gt;""),U96*V96,"")</f>
        <v/>
      </c>
      <c r="Z96" s="6"/>
      <c r="AA96" s="6"/>
      <c r="AB96" s="6"/>
      <c r="AC96" s="4"/>
      <c r="AD96" s="4"/>
      <c r="AE96" s="4"/>
      <c r="AF96" s="2"/>
    </row>
    <row r="97" spans="1:32" ht="16" x14ac:dyDescent="0.2">
      <c r="A97" s="3" t="s">
        <v>180</v>
      </c>
      <c r="B97" s="2" t="s">
        <v>409</v>
      </c>
      <c r="C97" s="3">
        <v>2025</v>
      </c>
      <c r="D97" s="3" t="s">
        <v>42</v>
      </c>
      <c r="E97" s="3" t="s">
        <v>83</v>
      </c>
      <c r="F97" s="4">
        <v>94.7</v>
      </c>
      <c r="G97" s="5">
        <v>258</v>
      </c>
      <c r="H97" s="5">
        <v>270</v>
      </c>
      <c r="I97" s="5">
        <f>IF(AND(G97&lt;&gt;"",H97&lt;&gt;""),(G97+H97)/2,"")</f>
        <v>264</v>
      </c>
      <c r="J97" s="4">
        <v>79</v>
      </c>
      <c r="K97" s="4">
        <v>85</v>
      </c>
      <c r="L97" s="4">
        <f>IF(AND(J97&lt;&gt;"",K97&lt;&gt;""),(J97+K97)/2,"")</f>
        <v>82</v>
      </c>
      <c r="M97" s="6">
        <f>IF(L97&lt;&gt;"",L97/33.7,"")</f>
        <v>2.4332344213649848</v>
      </c>
      <c r="N97" s="6">
        <f>IF(AND(I97&lt;&gt;"",F97&lt;&gt;""),I97/F97,"")</f>
        <v>2.7877507919746569</v>
      </c>
      <c r="O97" s="2" t="s">
        <v>43</v>
      </c>
      <c r="P97" s="2" t="s">
        <v>44</v>
      </c>
      <c r="Q97" s="2"/>
      <c r="R97" s="3" t="s">
        <v>186</v>
      </c>
      <c r="S97" s="3" t="s">
        <v>408</v>
      </c>
      <c r="T97" s="2"/>
      <c r="U97" s="3"/>
      <c r="V97" s="3"/>
      <c r="W97" s="3"/>
      <c r="X97" s="3"/>
      <c r="Y97" s="3" t="str">
        <f>IF(AND(U97&lt;&gt;"",V97&lt;&gt;""),U97*V97,"")</f>
        <v/>
      </c>
      <c r="Z97" s="6"/>
      <c r="AA97" s="6"/>
      <c r="AB97" s="6"/>
      <c r="AC97" s="4"/>
      <c r="AD97" s="4"/>
      <c r="AE97" s="4"/>
      <c r="AF97" s="2"/>
    </row>
    <row r="98" spans="1:32" ht="16" x14ac:dyDescent="0.2">
      <c r="A98" s="3" t="s">
        <v>180</v>
      </c>
      <c r="B98" s="2" t="s">
        <v>410</v>
      </c>
      <c r="C98" s="3">
        <v>2025</v>
      </c>
      <c r="D98" s="3" t="s">
        <v>42</v>
      </c>
      <c r="E98" s="3" t="s">
        <v>111</v>
      </c>
      <c r="F98" s="4">
        <v>149.69999999999999</v>
      </c>
      <c r="G98" s="5">
        <v>329</v>
      </c>
      <c r="H98" s="5">
        <v>371</v>
      </c>
      <c r="I98" s="5">
        <f>IF(AND(G98&lt;&gt;"",H98&lt;&gt;""),(G98+H98)/2,"")</f>
        <v>350</v>
      </c>
      <c r="J98" s="4">
        <v>68</v>
      </c>
      <c r="K98" s="4">
        <v>76</v>
      </c>
      <c r="L98" s="4">
        <f>IF(AND(J98&lt;&gt;"",K98&lt;&gt;""),(J98+K98)/2,"")</f>
        <v>72</v>
      </c>
      <c r="M98" s="6">
        <f>IF(L98&lt;&gt;"",L98/33.7,"")</f>
        <v>2.1364985163204744</v>
      </c>
      <c r="N98" s="6">
        <f>IF(AND(I98&lt;&gt;"",F98&lt;&gt;""),I98/F98,"")</f>
        <v>2.3380093520374081</v>
      </c>
      <c r="O98" s="2" t="s">
        <v>43</v>
      </c>
      <c r="P98" s="2" t="s">
        <v>44</v>
      </c>
      <c r="Q98" s="2"/>
      <c r="R98" s="3" t="s">
        <v>186</v>
      </c>
      <c r="S98" s="3" t="s">
        <v>408</v>
      </c>
      <c r="T98" s="2"/>
      <c r="U98" s="3"/>
      <c r="V98" s="3"/>
      <c r="W98" s="3"/>
      <c r="X98" s="3"/>
      <c r="Y98" s="3" t="str">
        <f>IF(AND(U98&lt;&gt;"",V98&lt;&gt;""),U98*V98,"")</f>
        <v/>
      </c>
      <c r="Z98" s="6"/>
      <c r="AA98" s="6"/>
      <c r="AB98" s="6"/>
      <c r="AC98" s="4"/>
      <c r="AD98" s="4"/>
      <c r="AE98" s="4"/>
      <c r="AF98" s="2"/>
    </row>
    <row r="99" spans="1:32" ht="16" x14ac:dyDescent="0.2">
      <c r="A99" s="3" t="s">
        <v>180</v>
      </c>
      <c r="B99" s="2" t="s">
        <v>336</v>
      </c>
      <c r="C99" s="3">
        <v>2025</v>
      </c>
      <c r="D99" s="3" t="s">
        <v>86</v>
      </c>
      <c r="E99" s="3" t="s">
        <v>111</v>
      </c>
      <c r="F99" s="4">
        <v>149.69999999999999</v>
      </c>
      <c r="G99" s="5">
        <v>292</v>
      </c>
      <c r="H99" s="5">
        <v>420</v>
      </c>
      <c r="I99" s="5">
        <f>IF(AND(G99&lt;&gt;"",H99&lt;&gt;""),(G99+H99)/2,"")</f>
        <v>356</v>
      </c>
      <c r="J99" s="4">
        <v>72</v>
      </c>
      <c r="K99" s="4">
        <v>87</v>
      </c>
      <c r="L99" s="4">
        <f>IF(AND(J99&lt;&gt;"",K99&lt;&gt;""),(J99+K99)/2,"")</f>
        <v>79.5</v>
      </c>
      <c r="M99" s="6">
        <f>IF(L99&lt;&gt;"",L99/33.7,"")</f>
        <v>2.3590504451038572</v>
      </c>
      <c r="N99" s="6">
        <f>IF(AND(I99&lt;&gt;"",F99&lt;&gt;""),I99/F99,"")</f>
        <v>2.3780895123580494</v>
      </c>
      <c r="O99" s="2" t="s">
        <v>43</v>
      </c>
      <c r="P99" s="2" t="s">
        <v>44</v>
      </c>
      <c r="Q99" s="2"/>
      <c r="R99" s="3" t="s">
        <v>186</v>
      </c>
      <c r="S99" s="3" t="s">
        <v>408</v>
      </c>
      <c r="T99" s="2"/>
      <c r="U99" s="3"/>
      <c r="V99" s="3"/>
      <c r="W99" s="3"/>
      <c r="X99" s="3"/>
      <c r="Y99" s="3" t="str">
        <f>IF(AND(U99&lt;&gt;"",V99&lt;&gt;""),U99*V99,"")</f>
        <v/>
      </c>
      <c r="Z99" s="6"/>
      <c r="AA99" s="6"/>
      <c r="AB99" s="6"/>
      <c r="AC99" s="4"/>
      <c r="AD99" s="4"/>
      <c r="AE99" s="4"/>
      <c r="AF99" s="2"/>
    </row>
    <row r="100" spans="1:32" ht="16" x14ac:dyDescent="0.2">
      <c r="A100" s="3" t="s">
        <v>180</v>
      </c>
      <c r="B100" s="2" t="s">
        <v>411</v>
      </c>
      <c r="C100" s="3">
        <v>2025</v>
      </c>
      <c r="D100" s="3" t="s">
        <v>86</v>
      </c>
      <c r="E100" s="3" t="s">
        <v>111</v>
      </c>
      <c r="F100" s="4">
        <v>116.1</v>
      </c>
      <c r="G100" s="5">
        <v>289</v>
      </c>
      <c r="H100" s="5">
        <v>329</v>
      </c>
      <c r="I100" s="5">
        <f>IF(AND(G100&lt;&gt;"",H100&lt;&gt;""),(G100+H100)/2,"")</f>
        <v>309</v>
      </c>
      <c r="J100" s="4">
        <v>76</v>
      </c>
      <c r="K100" s="4">
        <v>85</v>
      </c>
      <c r="L100" s="4">
        <f>IF(AND(J100&lt;&gt;"",K100&lt;&gt;""),(J100+K100)/2,"")</f>
        <v>80.5</v>
      </c>
      <c r="M100" s="6">
        <f>IF(L100&lt;&gt;"",L100/33.7,"")</f>
        <v>2.3887240356083086</v>
      </c>
      <c r="N100" s="6">
        <f>IF(AND(I100&lt;&gt;"",F100&lt;&gt;""),I100/F100,"")</f>
        <v>2.6614987080103361</v>
      </c>
      <c r="O100" s="2" t="s">
        <v>43</v>
      </c>
      <c r="P100" s="2" t="s">
        <v>44</v>
      </c>
      <c r="Q100" s="2"/>
      <c r="R100" s="3" t="s">
        <v>186</v>
      </c>
      <c r="S100" s="3" t="s">
        <v>408</v>
      </c>
      <c r="T100" s="2"/>
      <c r="U100" s="3"/>
      <c r="V100" s="3"/>
      <c r="W100" s="3"/>
      <c r="X100" s="3"/>
      <c r="Y100" s="3" t="str">
        <f>IF(AND(U100&lt;&gt;"",V100&lt;&gt;""),U100*V100,"")</f>
        <v/>
      </c>
      <c r="Z100" s="6"/>
      <c r="AA100" s="6"/>
      <c r="AB100" s="6"/>
      <c r="AC100" s="4"/>
      <c r="AD100" s="4"/>
      <c r="AE100" s="4"/>
      <c r="AF100" s="2"/>
    </row>
    <row r="101" spans="1:32" ht="16" x14ac:dyDescent="0.2">
      <c r="A101" s="3" t="s">
        <v>180</v>
      </c>
      <c r="B101" s="2" t="s">
        <v>412</v>
      </c>
      <c r="C101" s="3">
        <v>2025</v>
      </c>
      <c r="D101" s="3" t="s">
        <v>86</v>
      </c>
      <c r="E101" s="3" t="s">
        <v>83</v>
      </c>
      <c r="F101" s="4">
        <v>94.7</v>
      </c>
      <c r="G101" s="5">
        <v>258</v>
      </c>
      <c r="H101" s="5">
        <v>270</v>
      </c>
      <c r="I101" s="5">
        <f>IF(AND(G101&lt;&gt;"",H101&lt;&gt;""),(G101+H101)/2,"")</f>
        <v>264</v>
      </c>
      <c r="J101" s="4">
        <v>79</v>
      </c>
      <c r="K101" s="4">
        <v>85</v>
      </c>
      <c r="L101" s="4">
        <f>IF(AND(J101&lt;&gt;"",K101&lt;&gt;""),(J101+K101)/2,"")</f>
        <v>82</v>
      </c>
      <c r="M101" s="6">
        <f>IF(L101&lt;&gt;"",L101/33.7,"")</f>
        <v>2.4332344213649848</v>
      </c>
      <c r="N101" s="6">
        <f>IF(AND(I101&lt;&gt;"",F101&lt;&gt;""),I101/F101,"")</f>
        <v>2.7877507919746569</v>
      </c>
      <c r="O101" s="2" t="s">
        <v>43</v>
      </c>
      <c r="P101" s="2" t="s">
        <v>44</v>
      </c>
      <c r="Q101" s="2"/>
      <c r="R101" s="3" t="s">
        <v>186</v>
      </c>
      <c r="S101" s="3" t="s">
        <v>408</v>
      </c>
      <c r="T101" s="2"/>
      <c r="U101" s="3"/>
      <c r="V101" s="3"/>
      <c r="W101" s="3"/>
      <c r="X101" s="3"/>
      <c r="Y101" s="3" t="str">
        <f>IF(AND(U101&lt;&gt;"",V101&lt;&gt;""),U101*V101,"")</f>
        <v/>
      </c>
      <c r="Z101" s="6"/>
      <c r="AA101" s="6"/>
      <c r="AB101" s="6"/>
      <c r="AC101" s="4"/>
      <c r="AD101" s="4"/>
      <c r="AE101" s="4"/>
      <c r="AF101" s="2"/>
    </row>
    <row r="102" spans="1:32" ht="16" x14ac:dyDescent="0.2">
      <c r="A102" s="3" t="s">
        <v>180</v>
      </c>
      <c r="B102" s="2" t="s">
        <v>413</v>
      </c>
      <c r="C102" s="3">
        <v>2025</v>
      </c>
      <c r="D102" s="3" t="s">
        <v>86</v>
      </c>
      <c r="E102" s="3" t="s">
        <v>111</v>
      </c>
      <c r="F102" s="4">
        <v>149.69999999999999</v>
      </c>
      <c r="G102" s="5">
        <v>329</v>
      </c>
      <c r="H102" s="5">
        <v>371</v>
      </c>
      <c r="I102" s="5">
        <f>IF(AND(G102&lt;&gt;"",H102&lt;&gt;""),(G102+H102)/2,"")</f>
        <v>350</v>
      </c>
      <c r="J102" s="4">
        <v>68</v>
      </c>
      <c r="K102" s="4">
        <v>76</v>
      </c>
      <c r="L102" s="4">
        <f>IF(AND(J102&lt;&gt;"",K102&lt;&gt;""),(J102+K102)/2,"")</f>
        <v>72</v>
      </c>
      <c r="M102" s="6">
        <f>IF(L102&lt;&gt;"",L102/33.7,"")</f>
        <v>2.1364985163204744</v>
      </c>
      <c r="N102" s="6">
        <f>IF(AND(I102&lt;&gt;"",F102&lt;&gt;""),I102/F102,"")</f>
        <v>2.3380093520374081</v>
      </c>
      <c r="O102" s="2" t="s">
        <v>43</v>
      </c>
      <c r="P102" s="2" t="s">
        <v>44</v>
      </c>
      <c r="Q102" s="2"/>
      <c r="R102" s="3" t="s">
        <v>186</v>
      </c>
      <c r="S102" s="3" t="s">
        <v>408</v>
      </c>
      <c r="T102" s="2"/>
      <c r="U102" s="3"/>
      <c r="V102" s="3"/>
      <c r="W102" s="3"/>
      <c r="X102" s="3"/>
      <c r="Y102" s="3" t="str">
        <f>IF(AND(U102&lt;&gt;"",V102&lt;&gt;""),U102*V102,"")</f>
        <v/>
      </c>
      <c r="Z102" s="6"/>
      <c r="AA102" s="6"/>
      <c r="AB102" s="6"/>
      <c r="AC102" s="4"/>
      <c r="AD102" s="4"/>
      <c r="AE102" s="4"/>
      <c r="AF102" s="2"/>
    </row>
    <row r="103" spans="1:32" ht="16" x14ac:dyDescent="0.2">
      <c r="A103" s="3" t="s">
        <v>339</v>
      </c>
      <c r="B103" s="2" t="s">
        <v>340</v>
      </c>
      <c r="C103" s="3">
        <v>2025</v>
      </c>
      <c r="D103" s="3" t="s">
        <v>34</v>
      </c>
      <c r="E103" s="3" t="s">
        <v>35</v>
      </c>
      <c r="F103" s="4">
        <v>105.6</v>
      </c>
      <c r="G103" s="5">
        <v>251</v>
      </c>
      <c r="H103" s="5">
        <v>266</v>
      </c>
      <c r="I103" s="5">
        <f>IF(AND(G103&lt;&gt;"",H103&lt;&gt;""),(G103+H103)/2,"")</f>
        <v>258.5</v>
      </c>
      <c r="J103" s="4">
        <v>70</v>
      </c>
      <c r="K103" s="4">
        <v>74</v>
      </c>
      <c r="L103" s="4">
        <f>IF(AND(J103&lt;&gt;"",K103&lt;&gt;""),(J103+K103)/2,"")</f>
        <v>72</v>
      </c>
      <c r="M103" s="6">
        <f>IF(L103&lt;&gt;"",L103/33.7,"")</f>
        <v>2.1364985163204744</v>
      </c>
      <c r="N103" s="6">
        <f>IF(AND(I103&lt;&gt;"",F103&lt;&gt;""),I103/F103,"")</f>
        <v>2.447916666666667</v>
      </c>
      <c r="O103" s="2" t="s">
        <v>43</v>
      </c>
      <c r="P103" s="2" t="s">
        <v>44</v>
      </c>
      <c r="Q103" s="2"/>
      <c r="R103" s="3" t="s">
        <v>62</v>
      </c>
      <c r="S103" s="3" t="s">
        <v>63</v>
      </c>
      <c r="T103" s="2"/>
      <c r="U103" s="3"/>
      <c r="V103" s="3"/>
      <c r="W103" s="3"/>
      <c r="X103" s="3"/>
      <c r="Y103" s="3" t="str">
        <f>IF(AND(U103&lt;&gt;"",V103&lt;&gt;""),U103*V103,"")</f>
        <v/>
      </c>
      <c r="Z103" s="6"/>
      <c r="AA103" s="6"/>
      <c r="AB103" s="6"/>
      <c r="AC103" s="4"/>
      <c r="AD103" s="4"/>
      <c r="AE103" s="4"/>
      <c r="AF103" s="2"/>
    </row>
    <row r="104" spans="1:32" ht="16" x14ac:dyDescent="0.2">
      <c r="A104" s="3" t="s">
        <v>339</v>
      </c>
      <c r="B104" s="2" t="s">
        <v>341</v>
      </c>
      <c r="C104" s="3">
        <v>2025</v>
      </c>
      <c r="D104" s="3" t="s">
        <v>34</v>
      </c>
      <c r="E104" s="3" t="s">
        <v>35</v>
      </c>
      <c r="F104" s="4">
        <v>105.6</v>
      </c>
      <c r="G104" s="5">
        <v>253</v>
      </c>
      <c r="H104" s="5">
        <v>277</v>
      </c>
      <c r="I104" s="5">
        <f>IF(AND(G104&lt;&gt;"",H104&lt;&gt;""),(G104+H104)/2,"")</f>
        <v>265</v>
      </c>
      <c r="J104" s="4">
        <v>70</v>
      </c>
      <c r="K104" s="4">
        <v>77</v>
      </c>
      <c r="L104" s="4">
        <f>IF(AND(J104&lt;&gt;"",K104&lt;&gt;""),(J104+K104)/2,"")</f>
        <v>73.5</v>
      </c>
      <c r="M104" s="6">
        <f>IF(L104&lt;&gt;"",L104/33.7,"")</f>
        <v>2.181008902077151</v>
      </c>
      <c r="N104" s="6">
        <f>IF(AND(I104&lt;&gt;"",F104&lt;&gt;""),I104/F104,"")</f>
        <v>2.5094696969696972</v>
      </c>
      <c r="O104" s="2" t="s">
        <v>43</v>
      </c>
      <c r="P104" s="2" t="s">
        <v>44</v>
      </c>
      <c r="Q104" s="2"/>
      <c r="R104" s="3" t="s">
        <v>62</v>
      </c>
      <c r="S104" s="3" t="s">
        <v>63</v>
      </c>
      <c r="T104" s="2"/>
      <c r="U104" s="3"/>
      <c r="V104" s="3"/>
      <c r="W104" s="3"/>
      <c r="X104" s="3"/>
      <c r="Y104" s="3" t="str">
        <f>IF(AND(U104&lt;&gt;"",V104&lt;&gt;""),U104*V104,"")</f>
        <v/>
      </c>
      <c r="Z104" s="6"/>
      <c r="AA104" s="6"/>
      <c r="AB104" s="6"/>
      <c r="AC104" s="4"/>
      <c r="AD104" s="4"/>
      <c r="AE104" s="4"/>
      <c r="AF104" s="2"/>
    </row>
    <row r="105" spans="1:32" ht="16" x14ac:dyDescent="0.2">
      <c r="A105" s="3" t="s">
        <v>210</v>
      </c>
      <c r="B105" s="2" t="s">
        <v>414</v>
      </c>
      <c r="C105" s="3">
        <v>2025</v>
      </c>
      <c r="D105" s="3" t="s">
        <v>415</v>
      </c>
      <c r="E105" s="3" t="s">
        <v>50</v>
      </c>
      <c r="F105" s="4">
        <v>91.7</v>
      </c>
      <c r="G105" s="5">
        <v>234</v>
      </c>
      <c r="H105" s="5">
        <v>234</v>
      </c>
      <c r="I105" s="5">
        <f>IF(AND(G105&lt;&gt;"",H105&lt;&gt;""),(G105+H105)/2,"")</f>
        <v>234</v>
      </c>
      <c r="J105" s="4">
        <v>83</v>
      </c>
      <c r="K105" s="4">
        <v>83</v>
      </c>
      <c r="L105" s="4">
        <f>IF(AND(J105&lt;&gt;"",K105&lt;&gt;""),(J105+K105)/2,"")</f>
        <v>83</v>
      </c>
      <c r="M105" s="6">
        <f>IF(L105&lt;&gt;"",L105/33.7,"")</f>
        <v>2.4629080118694362</v>
      </c>
      <c r="N105" s="6">
        <f>IF(AND(I105&lt;&gt;"",F105&lt;&gt;""),I105/F105,"")</f>
        <v>2.5517993456924755</v>
      </c>
      <c r="O105" s="2" t="s">
        <v>43</v>
      </c>
      <c r="P105" s="2" t="s">
        <v>44</v>
      </c>
      <c r="Q105" s="2"/>
      <c r="R105" s="3" t="s">
        <v>62</v>
      </c>
      <c r="S105" s="3" t="s">
        <v>63</v>
      </c>
      <c r="T105" s="2"/>
      <c r="U105" s="3"/>
      <c r="V105" s="3"/>
      <c r="W105" s="3"/>
      <c r="X105" s="3"/>
      <c r="Y105" s="3" t="str">
        <f>IF(AND(U105&lt;&gt;"",V105&lt;&gt;""),U105*V105,"")</f>
        <v/>
      </c>
      <c r="Z105" s="6"/>
      <c r="AA105" s="6"/>
      <c r="AB105" s="6"/>
      <c r="AC105" s="4"/>
      <c r="AD105" s="4"/>
      <c r="AE105" s="4"/>
      <c r="AF105" s="2"/>
    </row>
    <row r="106" spans="1:32" ht="16" x14ac:dyDescent="0.2">
      <c r="A106" s="3" t="s">
        <v>210</v>
      </c>
      <c r="B106" s="2" t="s">
        <v>416</v>
      </c>
      <c r="C106" s="3">
        <v>2025</v>
      </c>
      <c r="D106" s="3" t="s">
        <v>415</v>
      </c>
      <c r="E106" s="3" t="s">
        <v>35</v>
      </c>
      <c r="F106" s="4">
        <v>91.7</v>
      </c>
      <c r="G106" s="5">
        <v>231</v>
      </c>
      <c r="H106" s="5">
        <v>231</v>
      </c>
      <c r="I106" s="5">
        <f>IF(AND(G106&lt;&gt;"",H106&lt;&gt;""),(G106+H106)/2,"")</f>
        <v>231</v>
      </c>
      <c r="J106" s="4">
        <v>80</v>
      </c>
      <c r="K106" s="4">
        <v>80</v>
      </c>
      <c r="L106" s="4">
        <f>IF(AND(J106&lt;&gt;"",K106&lt;&gt;""),(J106+K106)/2,"")</f>
        <v>80</v>
      </c>
      <c r="M106" s="6">
        <f>IF(L106&lt;&gt;"",L106/33.7,"")</f>
        <v>2.3738872403560829</v>
      </c>
      <c r="N106" s="6">
        <f>IF(AND(I106&lt;&gt;"",F106&lt;&gt;""),I106/F106,"")</f>
        <v>2.5190839694656488</v>
      </c>
      <c r="O106" s="2" t="s">
        <v>43</v>
      </c>
      <c r="P106" s="2" t="s">
        <v>44</v>
      </c>
      <c r="Q106" s="2"/>
      <c r="R106" s="3" t="s">
        <v>62</v>
      </c>
      <c r="S106" s="3" t="s">
        <v>63</v>
      </c>
      <c r="T106" s="2"/>
      <c r="U106" s="3"/>
      <c r="V106" s="3"/>
      <c r="W106" s="3"/>
      <c r="X106" s="3"/>
      <c r="Y106" s="3" t="str">
        <f>IF(AND(U106&lt;&gt;"",V106&lt;&gt;""),U106*V106,"")</f>
        <v/>
      </c>
      <c r="Z106" s="6"/>
      <c r="AA106" s="6"/>
      <c r="AB106" s="6"/>
      <c r="AC106" s="4"/>
      <c r="AD106" s="4"/>
      <c r="AE106" s="4"/>
      <c r="AF106" s="2"/>
    </row>
    <row r="107" spans="1:32" ht="16" x14ac:dyDescent="0.2">
      <c r="A107" s="3" t="s">
        <v>216</v>
      </c>
      <c r="B107" s="2" t="s">
        <v>417</v>
      </c>
      <c r="C107" s="3">
        <v>2025</v>
      </c>
      <c r="D107" s="3" t="s">
        <v>42</v>
      </c>
      <c r="E107" s="3" t="s">
        <v>50</v>
      </c>
      <c r="F107" s="4">
        <v>81.599999999999994</v>
      </c>
      <c r="G107" s="5">
        <v>296</v>
      </c>
      <c r="H107" s="5">
        <v>298</v>
      </c>
      <c r="I107" s="5">
        <f>IF(AND(G107&lt;&gt;"",H107&lt;&gt;""),(G107+H107)/2,"")</f>
        <v>297</v>
      </c>
      <c r="J107" s="4">
        <v>106</v>
      </c>
      <c r="K107" s="4">
        <v>106</v>
      </c>
      <c r="L107" s="4">
        <f>IF(AND(J107&lt;&gt;"",K107&lt;&gt;""),(J107+K107)/2,"")</f>
        <v>106</v>
      </c>
      <c r="M107" s="6">
        <f>IF(L107&lt;&gt;"",L107/33.7,"")</f>
        <v>3.1454005934718099</v>
      </c>
      <c r="N107" s="6">
        <f>IF(AND(I107&lt;&gt;"",F107&lt;&gt;""),I107/F107,"")</f>
        <v>3.6397058823529416</v>
      </c>
      <c r="O107" s="2" t="s">
        <v>43</v>
      </c>
      <c r="P107" s="2" t="s">
        <v>44</v>
      </c>
      <c r="Q107" s="2"/>
      <c r="R107" s="3" t="s">
        <v>218</v>
      </c>
      <c r="S107" s="3" t="s">
        <v>219</v>
      </c>
      <c r="T107" s="2"/>
      <c r="U107" s="3"/>
      <c r="V107" s="3"/>
      <c r="W107" s="3"/>
      <c r="X107" s="3"/>
      <c r="Y107" s="3" t="str">
        <f>IF(AND(U107&lt;&gt;"",V107&lt;&gt;""),U107*V107,"")</f>
        <v/>
      </c>
      <c r="Z107" s="6"/>
      <c r="AA107" s="6"/>
      <c r="AB107" s="6"/>
      <c r="AC107" s="4"/>
      <c r="AD107" s="4"/>
      <c r="AE107" s="4"/>
      <c r="AF107" s="2"/>
    </row>
    <row r="108" spans="1:32" ht="16" x14ac:dyDescent="0.2">
      <c r="A108" s="3" t="s">
        <v>216</v>
      </c>
      <c r="B108" s="2" t="s">
        <v>418</v>
      </c>
      <c r="C108" s="3">
        <v>2025</v>
      </c>
      <c r="D108" s="3" t="s">
        <v>42</v>
      </c>
      <c r="E108" s="3" t="s">
        <v>35</v>
      </c>
      <c r="F108" s="4">
        <v>81.599999999999994</v>
      </c>
      <c r="G108" s="5">
        <v>260</v>
      </c>
      <c r="H108" s="5">
        <v>268</v>
      </c>
      <c r="I108" s="5">
        <f>IF(AND(G108&lt;&gt;"",H108&lt;&gt;""),(G108+H108)/2,"")</f>
        <v>264</v>
      </c>
      <c r="J108" s="4">
        <v>94</v>
      </c>
      <c r="K108" s="4">
        <v>97</v>
      </c>
      <c r="L108" s="4">
        <f>IF(AND(J108&lt;&gt;"",K108&lt;&gt;""),(J108+K108)/2,"")</f>
        <v>95.5</v>
      </c>
      <c r="M108" s="6">
        <f>IF(L108&lt;&gt;"",L108/33.7,"")</f>
        <v>2.8338278931750738</v>
      </c>
      <c r="N108" s="6">
        <f>IF(AND(I108&lt;&gt;"",F108&lt;&gt;""),I108/F108,"")</f>
        <v>3.2352941176470589</v>
      </c>
      <c r="O108" s="2" t="s">
        <v>43</v>
      </c>
      <c r="P108" s="2" t="s">
        <v>44</v>
      </c>
      <c r="Q108" s="2"/>
      <c r="R108" s="3" t="s">
        <v>218</v>
      </c>
      <c r="S108" s="3" t="s">
        <v>219</v>
      </c>
      <c r="T108" s="2"/>
      <c r="U108" s="3"/>
      <c r="V108" s="3"/>
      <c r="W108" s="3"/>
      <c r="X108" s="3"/>
      <c r="Y108" s="3" t="str">
        <f>IF(AND(U108&lt;&gt;"",V108&lt;&gt;""),U108*V108,"")</f>
        <v/>
      </c>
      <c r="Z108" s="6"/>
      <c r="AA108" s="6"/>
      <c r="AB108" s="6"/>
      <c r="AC108" s="4"/>
      <c r="AD108" s="4"/>
      <c r="AE108" s="4"/>
      <c r="AF108" s="2"/>
    </row>
    <row r="109" spans="1:32" ht="16" x14ac:dyDescent="0.2">
      <c r="A109" s="3" t="s">
        <v>216</v>
      </c>
      <c r="B109" s="2" t="s">
        <v>419</v>
      </c>
      <c r="C109" s="3">
        <v>2025</v>
      </c>
      <c r="D109" s="3" t="s">
        <v>42</v>
      </c>
      <c r="E109" s="3" t="s">
        <v>50</v>
      </c>
      <c r="F109" s="4">
        <v>66.2</v>
      </c>
      <c r="G109" s="5">
        <v>257</v>
      </c>
      <c r="H109" s="5">
        <v>261</v>
      </c>
      <c r="I109" s="5">
        <f>IF(AND(G109&lt;&gt;"",H109&lt;&gt;""),(G109+H109)/2,"")</f>
        <v>259</v>
      </c>
      <c r="J109" s="4">
        <v>114</v>
      </c>
      <c r="K109" s="4">
        <v>116</v>
      </c>
      <c r="L109" s="4">
        <f>IF(AND(J109&lt;&gt;"",K109&lt;&gt;""),(J109+K109)/2,"")</f>
        <v>115</v>
      </c>
      <c r="M109" s="6">
        <f>IF(L109&lt;&gt;"",L109/33.7,"")</f>
        <v>3.4124629080118694</v>
      </c>
      <c r="N109" s="6">
        <f>IF(AND(I109&lt;&gt;"",F109&lt;&gt;""),I109/F109,"")</f>
        <v>3.9123867069486402</v>
      </c>
      <c r="O109" s="2" t="s">
        <v>43</v>
      </c>
      <c r="P109" s="2" t="s">
        <v>44</v>
      </c>
      <c r="Q109" s="2"/>
      <c r="R109" s="3" t="s">
        <v>62</v>
      </c>
      <c r="S109" s="3" t="s">
        <v>63</v>
      </c>
      <c r="T109" s="2"/>
      <c r="U109" s="3"/>
      <c r="V109" s="3"/>
      <c r="W109" s="3"/>
      <c r="X109" s="3"/>
      <c r="Y109" s="3" t="str">
        <f>IF(AND(U109&lt;&gt;"",V109&lt;&gt;""),U109*V109,"")</f>
        <v/>
      </c>
      <c r="Z109" s="6"/>
      <c r="AA109" s="6"/>
      <c r="AB109" s="6"/>
      <c r="AC109" s="4"/>
      <c r="AD109" s="4"/>
      <c r="AE109" s="4"/>
      <c r="AF109" s="2"/>
    </row>
    <row r="110" spans="1:32" ht="64" x14ac:dyDescent="0.2">
      <c r="A110" s="3" t="s">
        <v>191</v>
      </c>
      <c r="B110" s="2" t="s">
        <v>420</v>
      </c>
      <c r="C110" s="3">
        <v>2025</v>
      </c>
      <c r="D110" s="3" t="s">
        <v>86</v>
      </c>
      <c r="E110" s="3" t="s">
        <v>35</v>
      </c>
      <c r="F110" s="4">
        <v>122.4</v>
      </c>
      <c r="G110" s="5">
        <v>325</v>
      </c>
      <c r="H110" s="5">
        <v>325</v>
      </c>
      <c r="I110" s="5">
        <f>IF(AND(G110&lt;&gt;"",H110&lt;&gt;""),(G110+H110)/2,"")</f>
        <v>325</v>
      </c>
      <c r="J110" s="4">
        <v>79</v>
      </c>
      <c r="K110" s="4">
        <v>79</v>
      </c>
      <c r="L110" s="4">
        <f>IF(AND(J110&lt;&gt;"",K110&lt;&gt;""),(J110+K110)/2,"")</f>
        <v>79</v>
      </c>
      <c r="M110" s="6">
        <f>IF(L110&lt;&gt;"",L110/33.7,"")</f>
        <v>2.3442136498516319</v>
      </c>
      <c r="N110" s="6">
        <f>IF(AND(I110&lt;&gt;"",F110&lt;&gt;""),I110/F110,"")</f>
        <v>2.6552287581699345</v>
      </c>
      <c r="O110" s="2" t="s">
        <v>36</v>
      </c>
      <c r="P110" s="2" t="s">
        <v>37</v>
      </c>
      <c r="Q110" s="2" t="s">
        <v>421</v>
      </c>
      <c r="R110" s="3"/>
      <c r="S110" s="3"/>
      <c r="T110" s="2" t="s">
        <v>422</v>
      </c>
      <c r="U110" s="3"/>
      <c r="V110" s="3"/>
      <c r="W110" s="3"/>
      <c r="X110" s="3"/>
      <c r="Y110" s="3" t="str">
        <f>IF(AND(U110&lt;&gt;"",V110&lt;&gt;""),U110*V110,"")</f>
        <v/>
      </c>
      <c r="Z110" s="6"/>
      <c r="AA110" s="6"/>
      <c r="AB110" s="6"/>
      <c r="AC110" s="4"/>
      <c r="AD110" s="4"/>
      <c r="AE110" s="4"/>
      <c r="AF110" s="2" t="s">
        <v>423</v>
      </c>
    </row>
    <row r="111" spans="1:32" ht="16" x14ac:dyDescent="0.2">
      <c r="A111" s="3" t="s">
        <v>222</v>
      </c>
      <c r="B111" s="2" t="s">
        <v>223</v>
      </c>
      <c r="C111" s="3">
        <v>2024</v>
      </c>
      <c r="D111" s="3" t="s">
        <v>42</v>
      </c>
      <c r="E111" s="3" t="s">
        <v>35</v>
      </c>
      <c r="F111" s="4">
        <v>119.2</v>
      </c>
      <c r="G111" s="5">
        <v>278</v>
      </c>
      <c r="H111" s="5">
        <v>304</v>
      </c>
      <c r="I111" s="5">
        <f>IF(AND(G111&lt;&gt;"",H111&lt;&gt;""),(G111+H111)/2,"")</f>
        <v>291</v>
      </c>
      <c r="J111" s="4">
        <v>78</v>
      </c>
      <c r="K111" s="4">
        <v>87</v>
      </c>
      <c r="L111" s="4">
        <f>IF(AND(J111&lt;&gt;"",K111&lt;&gt;""),(J111+K111)/2,"")</f>
        <v>82.5</v>
      </c>
      <c r="M111" s="6">
        <f>IF(L111&lt;&gt;"",L111/33.7,"")</f>
        <v>2.4480712166172105</v>
      </c>
      <c r="N111" s="6">
        <f>IF(AND(I111&lt;&gt;"",F111&lt;&gt;""),I111/F111,"")</f>
        <v>2.4412751677852347</v>
      </c>
      <c r="O111" s="2" t="s">
        <v>43</v>
      </c>
      <c r="P111" s="2" t="s">
        <v>44</v>
      </c>
      <c r="Q111" s="2"/>
      <c r="R111" s="3" t="s">
        <v>224</v>
      </c>
      <c r="S111" s="3" t="s">
        <v>225</v>
      </c>
      <c r="T111" s="2"/>
      <c r="U111" s="3"/>
      <c r="V111" s="3"/>
      <c r="W111" s="3"/>
      <c r="X111" s="3"/>
      <c r="Y111" s="3" t="str">
        <f>IF(AND(U111&lt;&gt;"",V111&lt;&gt;""),U111*V111,"")</f>
        <v/>
      </c>
      <c r="Z111" s="6"/>
      <c r="AA111" s="6"/>
      <c r="AB111" s="6"/>
      <c r="AC111" s="4"/>
      <c r="AD111" s="4"/>
      <c r="AE111" s="4"/>
      <c r="AF111" s="2"/>
    </row>
    <row r="112" spans="1:32" ht="16" x14ac:dyDescent="0.2">
      <c r="A112" s="3" t="s">
        <v>222</v>
      </c>
      <c r="B112" s="2" t="s">
        <v>226</v>
      </c>
      <c r="C112" s="3">
        <v>2024</v>
      </c>
      <c r="D112" s="3" t="s">
        <v>42</v>
      </c>
      <c r="E112" s="3" t="s">
        <v>50</v>
      </c>
      <c r="F112" s="4">
        <v>119.2</v>
      </c>
      <c r="G112" s="5">
        <v>313</v>
      </c>
      <c r="H112" s="5">
        <v>313</v>
      </c>
      <c r="I112" s="5">
        <f>IF(AND(G112&lt;&gt;"",H112&lt;&gt;""),(G112+H112)/2,"")</f>
        <v>313</v>
      </c>
      <c r="J112" s="4">
        <v>90</v>
      </c>
      <c r="K112" s="4">
        <v>90</v>
      </c>
      <c r="L112" s="4">
        <f>IF(AND(J112&lt;&gt;"",K112&lt;&gt;""),(J112+K112)/2,"")</f>
        <v>90</v>
      </c>
      <c r="M112" s="6">
        <f>IF(L112&lt;&gt;"",L112/33.7,"")</f>
        <v>2.6706231454005933</v>
      </c>
      <c r="N112" s="6">
        <f>IF(AND(I112&lt;&gt;"",F112&lt;&gt;""),I112/F112,"")</f>
        <v>2.6258389261744965</v>
      </c>
      <c r="O112" s="2" t="s">
        <v>43</v>
      </c>
      <c r="P112" s="2" t="s">
        <v>44</v>
      </c>
      <c r="Q112" s="2"/>
      <c r="R112" s="3" t="s">
        <v>224</v>
      </c>
      <c r="S112" s="3" t="s">
        <v>225</v>
      </c>
      <c r="T112" s="2"/>
      <c r="U112" s="3"/>
      <c r="V112" s="3"/>
      <c r="W112" s="3"/>
      <c r="X112" s="3"/>
      <c r="Y112" s="3" t="str">
        <f>IF(AND(U112&lt;&gt;"",V112&lt;&gt;""),U112*V112,"")</f>
        <v/>
      </c>
      <c r="Z112" s="6"/>
      <c r="AA112" s="6"/>
      <c r="AB112" s="6"/>
      <c r="AC112" s="4"/>
      <c r="AD112" s="4"/>
      <c r="AE112" s="4"/>
      <c r="AF112" s="2"/>
    </row>
    <row r="113" spans="1:32" ht="16" x14ac:dyDescent="0.2">
      <c r="A113" s="3" t="s">
        <v>32</v>
      </c>
      <c r="B113" s="2" t="s">
        <v>227</v>
      </c>
      <c r="C113" s="3">
        <v>2024</v>
      </c>
      <c r="D113" s="3" t="s">
        <v>34</v>
      </c>
      <c r="E113" s="3" t="s">
        <v>35</v>
      </c>
      <c r="F113" s="4">
        <v>93</v>
      </c>
      <c r="G113" s="5">
        <v>249</v>
      </c>
      <c r="H113" s="5">
        <v>249</v>
      </c>
      <c r="I113" s="5">
        <f>IF(AND(G113&lt;&gt;"",H113&lt;&gt;""),(G113+H113)/2,"")</f>
        <v>249</v>
      </c>
      <c r="J113" s="4">
        <v>85</v>
      </c>
      <c r="K113" s="4">
        <v>85</v>
      </c>
      <c r="L113" s="4">
        <f>IF(AND(J113&lt;&gt;"",K113&lt;&gt;""),(J113+K113)/2,"")</f>
        <v>85</v>
      </c>
      <c r="M113" s="6">
        <f>IF(L113&lt;&gt;"",L113/33.7,"")</f>
        <v>2.5222551928783381</v>
      </c>
      <c r="N113" s="6">
        <f>IF(AND(I113&lt;&gt;"",F113&lt;&gt;""),I113/F113,"")</f>
        <v>2.6774193548387095</v>
      </c>
      <c r="O113" s="2" t="s">
        <v>36</v>
      </c>
      <c r="P113" s="2" t="s">
        <v>37</v>
      </c>
      <c r="Q113" s="2" t="s">
        <v>38</v>
      </c>
      <c r="R113" s="3" t="s">
        <v>39</v>
      </c>
      <c r="S113" s="3" t="s">
        <v>40</v>
      </c>
      <c r="T113" s="2"/>
      <c r="U113" s="3"/>
      <c r="V113" s="3"/>
      <c r="W113" s="3"/>
      <c r="X113" s="3"/>
      <c r="Y113" s="3" t="str">
        <f>IF(AND(U113&lt;&gt;"",V113&lt;&gt;""),U113*V113,"")</f>
        <v/>
      </c>
      <c r="Z113" s="6"/>
      <c r="AA113" s="6"/>
      <c r="AB113" s="6"/>
      <c r="AC113" s="4"/>
      <c r="AD113" s="4"/>
      <c r="AE113" s="4"/>
      <c r="AF113" s="2"/>
    </row>
    <row r="114" spans="1:32" ht="16" x14ac:dyDescent="0.2">
      <c r="A114" s="3" t="s">
        <v>32</v>
      </c>
      <c r="B114" s="2" t="s">
        <v>228</v>
      </c>
      <c r="C114" s="3">
        <v>2024</v>
      </c>
      <c r="D114" s="3" t="s">
        <v>42</v>
      </c>
      <c r="E114" s="3" t="s">
        <v>50</v>
      </c>
      <c r="F114" s="4">
        <v>82</v>
      </c>
      <c r="G114" s="5">
        <v>265</v>
      </c>
      <c r="H114" s="5">
        <v>265</v>
      </c>
      <c r="I114" s="5">
        <f>IF(AND(G114&lt;&gt;"",H114&lt;&gt;""),(G114+H114)/2,"")</f>
        <v>265</v>
      </c>
      <c r="J114" s="4">
        <v>103</v>
      </c>
      <c r="K114" s="4">
        <v>103</v>
      </c>
      <c r="L114" s="4">
        <f>IF(AND(J114&lt;&gt;"",K114&lt;&gt;""),(J114+K114)/2,"")</f>
        <v>103</v>
      </c>
      <c r="M114" s="6">
        <f>IF(L114&lt;&gt;"",L114/33.7,"")</f>
        <v>3.0563798219584566</v>
      </c>
      <c r="N114" s="6">
        <f>IF(AND(I114&lt;&gt;"",F114&lt;&gt;""),I114/F114,"")</f>
        <v>3.2317073170731709</v>
      </c>
      <c r="O114" s="2" t="s">
        <v>43</v>
      </c>
      <c r="P114" s="2" t="s">
        <v>44</v>
      </c>
      <c r="Q114" s="2"/>
      <c r="R114" s="3" t="s">
        <v>51</v>
      </c>
      <c r="S114" s="3" t="s">
        <v>52</v>
      </c>
      <c r="T114" s="2"/>
      <c r="U114" s="3"/>
      <c r="V114" s="3"/>
      <c r="W114" s="3"/>
      <c r="X114" s="3"/>
      <c r="Y114" s="3" t="str">
        <f>IF(AND(U114&lt;&gt;"",V114&lt;&gt;""),U114*V114,"")</f>
        <v/>
      </c>
      <c r="Z114" s="6"/>
      <c r="AA114" s="6"/>
      <c r="AB114" s="6"/>
      <c r="AC114" s="4"/>
      <c r="AD114" s="4"/>
      <c r="AE114" s="4"/>
      <c r="AF114" s="2"/>
    </row>
    <row r="115" spans="1:32" ht="16" x14ac:dyDescent="0.2">
      <c r="A115" s="3" t="s">
        <v>32</v>
      </c>
      <c r="B115" s="2" t="s">
        <v>229</v>
      </c>
      <c r="C115" s="3">
        <v>2024</v>
      </c>
      <c r="D115" s="3" t="s">
        <v>42</v>
      </c>
      <c r="E115" s="3" t="s">
        <v>35</v>
      </c>
      <c r="F115" s="4">
        <v>82</v>
      </c>
      <c r="G115" s="5">
        <v>236</v>
      </c>
      <c r="H115" s="5">
        <v>242</v>
      </c>
      <c r="I115" s="5">
        <f>IF(AND(G115&lt;&gt;"",H115&lt;&gt;""),(G115+H115)/2,"")</f>
        <v>239</v>
      </c>
      <c r="J115" s="4">
        <v>93</v>
      </c>
      <c r="K115" s="4">
        <v>95</v>
      </c>
      <c r="L115" s="4">
        <f>IF(AND(J115&lt;&gt;"",K115&lt;&gt;""),(J115+K115)/2,"")</f>
        <v>94</v>
      </c>
      <c r="M115" s="6">
        <f>IF(L115&lt;&gt;"",L115/33.7,"")</f>
        <v>2.7893175074183976</v>
      </c>
      <c r="N115" s="6">
        <f>IF(AND(I115&lt;&gt;"",F115&lt;&gt;""),I115/F115,"")</f>
        <v>2.9146341463414633</v>
      </c>
      <c r="O115" s="2" t="s">
        <v>43</v>
      </c>
      <c r="P115" s="2" t="s">
        <v>44</v>
      </c>
      <c r="Q115" s="2"/>
      <c r="R115" s="3" t="s">
        <v>51</v>
      </c>
      <c r="S115" s="3" t="s">
        <v>52</v>
      </c>
      <c r="T115" s="2"/>
      <c r="U115" s="3"/>
      <c r="V115" s="3"/>
      <c r="W115" s="3"/>
      <c r="X115" s="3"/>
      <c r="Y115" s="3" t="str">
        <f>IF(AND(U115&lt;&gt;"",V115&lt;&gt;""),U115*V115,"")</f>
        <v/>
      </c>
      <c r="Z115" s="6"/>
      <c r="AA115" s="6"/>
      <c r="AB115" s="6"/>
      <c r="AC115" s="4"/>
      <c r="AD115" s="4"/>
      <c r="AE115" s="4"/>
      <c r="AF115" s="2"/>
    </row>
    <row r="116" spans="1:32" ht="16" x14ac:dyDescent="0.2">
      <c r="A116" s="3" t="s">
        <v>32</v>
      </c>
      <c r="B116" s="2" t="s">
        <v>230</v>
      </c>
      <c r="C116" s="3">
        <v>2024</v>
      </c>
      <c r="D116" s="3" t="s">
        <v>42</v>
      </c>
      <c r="E116" s="3" t="s">
        <v>35</v>
      </c>
      <c r="F116" s="4">
        <v>82.4</v>
      </c>
      <c r="G116" s="5">
        <v>258</v>
      </c>
      <c r="H116" s="5">
        <v>258</v>
      </c>
      <c r="I116" s="5">
        <f>IF(AND(G116&lt;&gt;"",H116&lt;&gt;""),(G116+H116)/2,"")</f>
        <v>258</v>
      </c>
      <c r="J116" s="4">
        <v>100</v>
      </c>
      <c r="K116" s="4">
        <v>100</v>
      </c>
      <c r="L116" s="4">
        <f>IF(AND(J116&lt;&gt;"",K116&lt;&gt;""),(J116+K116)/2,"")</f>
        <v>100</v>
      </c>
      <c r="M116" s="6">
        <f>IF(L116&lt;&gt;"",L116/33.7,"")</f>
        <v>2.9673590504451037</v>
      </c>
      <c r="N116" s="6">
        <f>IF(AND(I116&lt;&gt;"",F116&lt;&gt;""),I116/F116,"")</f>
        <v>3.1310679611650483</v>
      </c>
      <c r="O116" s="2" t="s">
        <v>43</v>
      </c>
      <c r="P116" s="2" t="s">
        <v>44</v>
      </c>
      <c r="Q116" s="2"/>
      <c r="R116" s="3" t="s">
        <v>51</v>
      </c>
      <c r="S116" s="3" t="s">
        <v>52</v>
      </c>
      <c r="T116" s="2"/>
      <c r="U116" s="3"/>
      <c r="V116" s="3"/>
      <c r="W116" s="3"/>
      <c r="X116" s="3"/>
      <c r="Y116" s="3" t="str">
        <f>IF(AND(U116&lt;&gt;"",V116&lt;&gt;""),U116*V116,"")</f>
        <v/>
      </c>
      <c r="Z116" s="6"/>
      <c r="AA116" s="6"/>
      <c r="AB116" s="6"/>
      <c r="AC116" s="4"/>
      <c r="AD116" s="4"/>
      <c r="AE116" s="4"/>
      <c r="AF116" s="2"/>
    </row>
    <row r="117" spans="1:32" ht="16" x14ac:dyDescent="0.2">
      <c r="A117" s="3" t="s">
        <v>32</v>
      </c>
      <c r="B117" s="2" t="s">
        <v>231</v>
      </c>
      <c r="C117" s="3">
        <v>2024</v>
      </c>
      <c r="D117" s="3" t="s">
        <v>42</v>
      </c>
      <c r="E117" s="3" t="s">
        <v>35</v>
      </c>
      <c r="F117" s="4">
        <v>114</v>
      </c>
      <c r="G117" s="5">
        <v>285</v>
      </c>
      <c r="H117" s="5">
        <v>285</v>
      </c>
      <c r="I117" s="5">
        <f>IF(AND(G117&lt;&gt;"",H117&lt;&gt;""),(G117+H117)/2,"")</f>
        <v>285</v>
      </c>
      <c r="J117" s="4">
        <v>81</v>
      </c>
      <c r="K117" s="4">
        <v>81</v>
      </c>
      <c r="L117" s="4">
        <f>IF(AND(J117&lt;&gt;"",K117&lt;&gt;""),(J117+K117)/2,"")</f>
        <v>81</v>
      </c>
      <c r="M117" s="6">
        <f>IF(L117&lt;&gt;"",L117/33.7,"")</f>
        <v>2.4035608308605338</v>
      </c>
      <c r="N117" s="6">
        <f>IF(AND(I117&lt;&gt;"",F117&lt;&gt;""),I117/F117,"")</f>
        <v>2.5</v>
      </c>
      <c r="O117" s="2" t="s">
        <v>43</v>
      </c>
      <c r="P117" s="2" t="s">
        <v>44</v>
      </c>
      <c r="Q117" s="2"/>
      <c r="R117" s="3" t="s">
        <v>51</v>
      </c>
      <c r="S117" s="3" t="s">
        <v>52</v>
      </c>
      <c r="T117" s="2"/>
      <c r="U117" s="3"/>
      <c r="V117" s="3"/>
      <c r="W117" s="3"/>
      <c r="X117" s="3"/>
      <c r="Y117" s="3" t="str">
        <f>IF(AND(U117&lt;&gt;"",V117&lt;&gt;""),U117*V117,"")</f>
        <v/>
      </c>
      <c r="Z117" s="6"/>
      <c r="AA117" s="6"/>
      <c r="AB117" s="6"/>
      <c r="AC117" s="4"/>
      <c r="AD117" s="4"/>
      <c r="AE117" s="4"/>
      <c r="AF117" s="2"/>
    </row>
    <row r="118" spans="1:32" ht="16" x14ac:dyDescent="0.2">
      <c r="A118" s="3" t="s">
        <v>32</v>
      </c>
      <c r="B118" s="2" t="s">
        <v>232</v>
      </c>
      <c r="C118" s="3">
        <v>2024</v>
      </c>
      <c r="D118" s="3" t="s">
        <v>42</v>
      </c>
      <c r="E118" s="3" t="s">
        <v>35</v>
      </c>
      <c r="F118" s="4">
        <v>114</v>
      </c>
      <c r="G118" s="5">
        <v>296</v>
      </c>
      <c r="H118" s="5">
        <v>296</v>
      </c>
      <c r="I118" s="5">
        <f>IF(AND(G118&lt;&gt;"",H118&lt;&gt;""),(G118+H118)/2,"")</f>
        <v>296</v>
      </c>
      <c r="J118" s="4">
        <v>87</v>
      </c>
      <c r="K118" s="4">
        <v>87</v>
      </c>
      <c r="L118" s="4">
        <f>IF(AND(J118&lt;&gt;"",K118&lt;&gt;""),(J118+K118)/2,"")</f>
        <v>87</v>
      </c>
      <c r="M118" s="6">
        <f>IF(L118&lt;&gt;"",L118/33.7,"")</f>
        <v>2.58160237388724</v>
      </c>
      <c r="N118" s="6">
        <f>IF(AND(I118&lt;&gt;"",F118&lt;&gt;""),I118/F118,"")</f>
        <v>2.5964912280701755</v>
      </c>
      <c r="O118" s="2" t="s">
        <v>43</v>
      </c>
      <c r="P118" s="2" t="s">
        <v>44</v>
      </c>
      <c r="Q118" s="2"/>
      <c r="R118" s="3" t="s">
        <v>233</v>
      </c>
      <c r="S118" s="3" t="s">
        <v>234</v>
      </c>
      <c r="T118" s="2"/>
      <c r="U118" s="3"/>
      <c r="V118" s="3"/>
      <c r="W118" s="3"/>
      <c r="X118" s="3"/>
      <c r="Y118" s="3" t="str">
        <f>IF(AND(U118&lt;&gt;"",V118&lt;&gt;""),U118*V118,"")</f>
        <v/>
      </c>
      <c r="Z118" s="6"/>
      <c r="AA118" s="6"/>
      <c r="AB118" s="6"/>
      <c r="AC118" s="4"/>
      <c r="AD118" s="4"/>
      <c r="AE118" s="4"/>
      <c r="AF118" s="2"/>
    </row>
    <row r="119" spans="1:32" ht="16" x14ac:dyDescent="0.2">
      <c r="A119" s="3" t="s">
        <v>32</v>
      </c>
      <c r="B119" s="2" t="s">
        <v>235</v>
      </c>
      <c r="C119" s="3">
        <v>2024</v>
      </c>
      <c r="D119" s="3" t="s">
        <v>42</v>
      </c>
      <c r="E119" s="3" t="s">
        <v>35</v>
      </c>
      <c r="F119" s="4">
        <v>114</v>
      </c>
      <c r="G119" s="5">
        <v>300</v>
      </c>
      <c r="H119" s="5">
        <v>300</v>
      </c>
      <c r="I119" s="5">
        <f>IF(AND(G119&lt;&gt;"",H119&lt;&gt;""),(G119+H119)/2,"")</f>
        <v>300</v>
      </c>
      <c r="J119" s="4">
        <v>86</v>
      </c>
      <c r="K119" s="4">
        <v>86</v>
      </c>
      <c r="L119" s="4">
        <f>IF(AND(J119&lt;&gt;"",K119&lt;&gt;""),(J119+K119)/2,"")</f>
        <v>86</v>
      </c>
      <c r="M119" s="6">
        <f>IF(L119&lt;&gt;"",L119/33.7,"")</f>
        <v>2.5519287833827891</v>
      </c>
      <c r="N119" s="6">
        <f>IF(AND(I119&lt;&gt;"",F119&lt;&gt;""),I119/F119,"")</f>
        <v>2.6315789473684212</v>
      </c>
      <c r="O119" s="2" t="s">
        <v>43</v>
      </c>
      <c r="P119" s="2" t="s">
        <v>44</v>
      </c>
      <c r="Q119" s="2"/>
      <c r="R119" s="3" t="s">
        <v>51</v>
      </c>
      <c r="S119" s="3" t="s">
        <v>52</v>
      </c>
      <c r="T119" s="2"/>
      <c r="U119" s="3"/>
      <c r="V119" s="3"/>
      <c r="W119" s="3"/>
      <c r="X119" s="3"/>
      <c r="Y119" s="3" t="str">
        <f>IF(AND(U119&lt;&gt;"",V119&lt;&gt;""),U119*V119,"")</f>
        <v/>
      </c>
      <c r="Z119" s="6"/>
      <c r="AA119" s="6"/>
      <c r="AB119" s="6"/>
      <c r="AC119" s="4"/>
      <c r="AD119" s="4"/>
      <c r="AE119" s="4"/>
      <c r="AF119" s="2"/>
    </row>
    <row r="120" spans="1:32" ht="16" x14ac:dyDescent="0.2">
      <c r="A120" s="3" t="s">
        <v>32</v>
      </c>
      <c r="B120" s="2" t="s">
        <v>236</v>
      </c>
      <c r="C120" s="3">
        <v>2024</v>
      </c>
      <c r="D120" s="3" t="s">
        <v>42</v>
      </c>
      <c r="E120" s="3" t="s">
        <v>35</v>
      </c>
      <c r="F120" s="4">
        <v>114</v>
      </c>
      <c r="G120" s="5">
        <v>218</v>
      </c>
      <c r="H120" s="5">
        <v>253</v>
      </c>
      <c r="I120" s="5">
        <f>IF(AND(G120&lt;&gt;"",H120&lt;&gt;""),(G120+H120)/2,"")</f>
        <v>235.5</v>
      </c>
      <c r="J120" s="4">
        <v>63</v>
      </c>
      <c r="K120" s="4">
        <v>73</v>
      </c>
      <c r="L120" s="4">
        <f>IF(AND(J120&lt;&gt;"",K120&lt;&gt;""),(J120+K120)/2,"")</f>
        <v>68</v>
      </c>
      <c r="M120" s="6">
        <f>IF(L120&lt;&gt;"",L120/33.7,"")</f>
        <v>2.0178041543026706</v>
      </c>
      <c r="N120" s="6">
        <f>IF(AND(I120&lt;&gt;"",F120&lt;&gt;""),I120/F120,"")</f>
        <v>2.0657894736842106</v>
      </c>
      <c r="O120" s="2" t="s">
        <v>43</v>
      </c>
      <c r="P120" s="2" t="s">
        <v>44</v>
      </c>
      <c r="Q120" s="2"/>
      <c r="R120" s="3" t="s">
        <v>62</v>
      </c>
      <c r="S120" s="3" t="s">
        <v>63</v>
      </c>
      <c r="T120" s="2"/>
      <c r="U120" s="3"/>
      <c r="V120" s="3"/>
      <c r="W120" s="3"/>
      <c r="X120" s="3"/>
      <c r="Y120" s="3" t="str">
        <f>IF(AND(U120&lt;&gt;"",V120&lt;&gt;""),U120*V120,"")</f>
        <v/>
      </c>
      <c r="Z120" s="6"/>
      <c r="AA120" s="6"/>
      <c r="AB120" s="6"/>
      <c r="AC120" s="4"/>
      <c r="AD120" s="4"/>
      <c r="AE120" s="4"/>
      <c r="AF120" s="2"/>
    </row>
    <row r="121" spans="1:32" ht="16" x14ac:dyDescent="0.2">
      <c r="A121" s="3" t="s">
        <v>55</v>
      </c>
      <c r="B121" s="2" t="s">
        <v>237</v>
      </c>
      <c r="C121" s="3">
        <v>2024</v>
      </c>
      <c r="D121" s="3" t="s">
        <v>34</v>
      </c>
      <c r="E121" s="3" t="s">
        <v>50</v>
      </c>
      <c r="F121" s="4">
        <v>84</v>
      </c>
      <c r="G121" s="5">
        <v>252</v>
      </c>
      <c r="H121" s="5">
        <v>276</v>
      </c>
      <c r="I121" s="5">
        <f>IF(AND(G121&lt;&gt;"",H121&lt;&gt;""),(G121+H121)/2,"")</f>
        <v>264</v>
      </c>
      <c r="J121" s="4">
        <v>110</v>
      </c>
      <c r="K121" s="4">
        <v>120</v>
      </c>
      <c r="L121" s="4">
        <f>IF(AND(J121&lt;&gt;"",K121&lt;&gt;""),(J121+K121)/2,"")</f>
        <v>115</v>
      </c>
      <c r="M121" s="6">
        <f>IF(L121&lt;&gt;"",L121/33.7,"")</f>
        <v>3.4124629080118694</v>
      </c>
      <c r="N121" s="6">
        <f>IF(AND(I121&lt;&gt;"",F121&lt;&gt;""),I121/F121,"")</f>
        <v>3.1428571428571428</v>
      </c>
      <c r="O121" s="2" t="s">
        <v>43</v>
      </c>
      <c r="P121" s="2" t="s">
        <v>44</v>
      </c>
      <c r="Q121" s="2"/>
      <c r="R121" s="3" t="s">
        <v>57</v>
      </c>
      <c r="S121" s="3" t="s">
        <v>58</v>
      </c>
      <c r="T121" s="2"/>
      <c r="U121" s="3"/>
      <c r="V121" s="3"/>
      <c r="W121" s="3"/>
      <c r="X121" s="3"/>
      <c r="Y121" s="3" t="str">
        <f>IF(AND(U121&lt;&gt;"",V121&lt;&gt;""),U121*V121,"")</f>
        <v/>
      </c>
      <c r="Z121" s="6"/>
      <c r="AA121" s="6"/>
      <c r="AB121" s="6"/>
      <c r="AC121" s="4"/>
      <c r="AD121" s="4"/>
      <c r="AE121" s="4"/>
      <c r="AF121" s="2"/>
    </row>
    <row r="122" spans="1:32" ht="16" x14ac:dyDescent="0.2">
      <c r="A122" s="3" t="s">
        <v>55</v>
      </c>
      <c r="B122" s="2" t="s">
        <v>238</v>
      </c>
      <c r="C122" s="3">
        <v>2024</v>
      </c>
      <c r="D122" s="3" t="s">
        <v>34</v>
      </c>
      <c r="E122" s="3" t="s">
        <v>50</v>
      </c>
      <c r="F122" s="4">
        <v>84</v>
      </c>
      <c r="G122" s="5">
        <v>283</v>
      </c>
      <c r="H122" s="5">
        <v>301</v>
      </c>
      <c r="I122" s="5">
        <f>IF(AND(G122&lt;&gt;"",H122&lt;&gt;""),(G122+H122)/2,"")</f>
        <v>292</v>
      </c>
      <c r="J122" s="4">
        <v>100</v>
      </c>
      <c r="K122" s="4">
        <v>109</v>
      </c>
      <c r="L122" s="4">
        <f>IF(AND(J122&lt;&gt;"",K122&lt;&gt;""),(J122+K122)/2,"")</f>
        <v>104.5</v>
      </c>
      <c r="M122" s="6">
        <f>IF(L122&lt;&gt;"",L122/33.7,"")</f>
        <v>3.1008902077151332</v>
      </c>
      <c r="N122" s="6">
        <f>IF(AND(I122&lt;&gt;"",F122&lt;&gt;""),I122/F122,"")</f>
        <v>3.4761904761904763</v>
      </c>
      <c r="O122" s="2" t="s">
        <v>43</v>
      </c>
      <c r="P122" s="2" t="s">
        <v>44</v>
      </c>
      <c r="Q122" s="2"/>
      <c r="R122" s="3" t="s">
        <v>57</v>
      </c>
      <c r="S122" s="3" t="s">
        <v>58</v>
      </c>
      <c r="T122" s="2"/>
      <c r="U122" s="3"/>
      <c r="V122" s="3"/>
      <c r="W122" s="3"/>
      <c r="X122" s="3"/>
      <c r="Y122" s="3" t="str">
        <f>IF(AND(U122&lt;&gt;"",V122&lt;&gt;""),U122*V122,"")</f>
        <v/>
      </c>
      <c r="Z122" s="6"/>
      <c r="AA122" s="6"/>
      <c r="AB122" s="6"/>
      <c r="AC122" s="4"/>
      <c r="AD122" s="4"/>
      <c r="AE122" s="4"/>
      <c r="AF122" s="2"/>
    </row>
    <row r="123" spans="1:32" ht="16" x14ac:dyDescent="0.2">
      <c r="A123" s="3" t="s">
        <v>55</v>
      </c>
      <c r="B123" s="2" t="s">
        <v>59</v>
      </c>
      <c r="C123" s="3">
        <v>2024</v>
      </c>
      <c r="D123" s="3" t="s">
        <v>34</v>
      </c>
      <c r="E123" s="3" t="s">
        <v>35</v>
      </c>
      <c r="F123" s="4">
        <v>105</v>
      </c>
      <c r="G123" s="5">
        <v>227</v>
      </c>
      <c r="H123" s="5">
        <v>269</v>
      </c>
      <c r="I123" s="5">
        <f>IF(AND(G123&lt;&gt;"",H123&lt;&gt;""),(G123+H123)/2,"")</f>
        <v>248</v>
      </c>
      <c r="J123" s="4">
        <v>80</v>
      </c>
      <c r="K123" s="4">
        <v>95</v>
      </c>
      <c r="L123" s="4">
        <f>IF(AND(J123&lt;&gt;"",K123&lt;&gt;""),(J123+K123)/2,"")</f>
        <v>87.5</v>
      </c>
      <c r="M123" s="6">
        <f>IF(L123&lt;&gt;"",L123/33.7,"")</f>
        <v>2.5964391691394657</v>
      </c>
      <c r="N123" s="6">
        <f>IF(AND(I123&lt;&gt;"",F123&lt;&gt;""),I123/F123,"")</f>
        <v>2.361904761904762</v>
      </c>
      <c r="O123" s="2" t="s">
        <v>43</v>
      </c>
      <c r="P123" s="2" t="s">
        <v>44</v>
      </c>
      <c r="Q123" s="2"/>
      <c r="R123" s="3" t="s">
        <v>60</v>
      </c>
      <c r="S123" s="3" t="s">
        <v>58</v>
      </c>
      <c r="T123" s="2"/>
      <c r="U123" s="3"/>
      <c r="V123" s="3"/>
      <c r="W123" s="3"/>
      <c r="X123" s="3"/>
      <c r="Y123" s="3" t="str">
        <f>IF(AND(U123&lt;&gt;"",V123&lt;&gt;""),U123*V123,"")</f>
        <v/>
      </c>
      <c r="Z123" s="6"/>
      <c r="AA123" s="6"/>
      <c r="AB123" s="6"/>
      <c r="AC123" s="4"/>
      <c r="AD123" s="4"/>
      <c r="AE123" s="4"/>
      <c r="AF123" s="2"/>
    </row>
    <row r="124" spans="1:32" ht="16" x14ac:dyDescent="0.2">
      <c r="A124" s="3" t="s">
        <v>55</v>
      </c>
      <c r="B124" s="2" t="s">
        <v>239</v>
      </c>
      <c r="C124" s="3">
        <v>2024</v>
      </c>
      <c r="D124" s="3" t="s">
        <v>34</v>
      </c>
      <c r="E124" s="3" t="s">
        <v>35</v>
      </c>
      <c r="F124" s="4">
        <v>105</v>
      </c>
      <c r="G124" s="5">
        <v>279</v>
      </c>
      <c r="H124" s="5">
        <v>307</v>
      </c>
      <c r="I124" s="5">
        <f>IF(AND(G124&lt;&gt;"",H124&lt;&gt;""),(G124+H124)/2,"")</f>
        <v>293</v>
      </c>
      <c r="J124" s="4">
        <v>99</v>
      </c>
      <c r="K124" s="4">
        <v>109</v>
      </c>
      <c r="L124" s="4">
        <f>IF(AND(J124&lt;&gt;"",K124&lt;&gt;""),(J124+K124)/2,"")</f>
        <v>104</v>
      </c>
      <c r="M124" s="6">
        <f>IF(L124&lt;&gt;"",L124/33.7,"")</f>
        <v>3.0860534124629075</v>
      </c>
      <c r="N124" s="6">
        <f>IF(AND(I124&lt;&gt;"",F124&lt;&gt;""),I124/F124,"")</f>
        <v>2.7904761904761903</v>
      </c>
      <c r="O124" s="2" t="s">
        <v>43</v>
      </c>
      <c r="P124" s="2" t="s">
        <v>44</v>
      </c>
      <c r="Q124" s="2"/>
      <c r="R124" s="3" t="s">
        <v>57</v>
      </c>
      <c r="S124" s="3" t="s">
        <v>58</v>
      </c>
      <c r="T124" s="2"/>
      <c r="U124" s="3"/>
      <c r="V124" s="3"/>
      <c r="W124" s="3"/>
      <c r="X124" s="3"/>
      <c r="Y124" s="3" t="str">
        <f>IF(AND(U124&lt;&gt;"",V124&lt;&gt;""),U124*V124,"")</f>
        <v/>
      </c>
      <c r="Z124" s="6"/>
      <c r="AA124" s="6"/>
      <c r="AB124" s="6"/>
      <c r="AC124" s="4"/>
      <c r="AD124" s="4"/>
      <c r="AE124" s="4"/>
      <c r="AF124" s="2"/>
    </row>
    <row r="125" spans="1:32" ht="16" x14ac:dyDescent="0.2">
      <c r="A125" s="3" t="s">
        <v>55</v>
      </c>
      <c r="B125" s="2" t="s">
        <v>240</v>
      </c>
      <c r="C125" s="3">
        <v>2024</v>
      </c>
      <c r="D125" s="3" t="s">
        <v>34</v>
      </c>
      <c r="E125" s="3" t="s">
        <v>50</v>
      </c>
      <c r="F125" s="4">
        <v>84</v>
      </c>
      <c r="G125" s="5">
        <v>270</v>
      </c>
      <c r="H125" s="5">
        <v>295</v>
      </c>
      <c r="I125" s="5">
        <f>IF(AND(G125&lt;&gt;"",H125&lt;&gt;""),(G125+H125)/2,"")</f>
        <v>282.5</v>
      </c>
      <c r="J125" s="4">
        <v>96</v>
      </c>
      <c r="K125" s="4">
        <v>105</v>
      </c>
      <c r="L125" s="4">
        <f>IF(AND(J125&lt;&gt;"",K125&lt;&gt;""),(J125+K125)/2,"")</f>
        <v>100.5</v>
      </c>
      <c r="M125" s="6">
        <f>IF(L125&lt;&gt;"",L125/33.7,"")</f>
        <v>2.982195845697329</v>
      </c>
      <c r="N125" s="6">
        <f>IF(AND(I125&lt;&gt;"",F125&lt;&gt;""),I125/F125,"")</f>
        <v>3.3630952380952381</v>
      </c>
      <c r="O125" s="2" t="s">
        <v>43</v>
      </c>
      <c r="P125" s="2" t="s">
        <v>44</v>
      </c>
      <c r="Q125" s="2"/>
      <c r="R125" s="3" t="s">
        <v>62</v>
      </c>
      <c r="S125" s="3" t="s">
        <v>63</v>
      </c>
      <c r="T125" s="2"/>
      <c r="U125" s="3"/>
      <c r="V125" s="3"/>
      <c r="W125" s="3"/>
      <c r="X125" s="3"/>
      <c r="Y125" s="3" t="str">
        <f>IF(AND(U125&lt;&gt;"",V125&lt;&gt;""),U125*V125,"")</f>
        <v/>
      </c>
      <c r="Z125" s="6"/>
      <c r="AA125" s="6"/>
      <c r="AB125" s="6"/>
      <c r="AC125" s="4"/>
      <c r="AD125" s="4"/>
      <c r="AE125" s="4"/>
      <c r="AF125" s="2"/>
    </row>
    <row r="126" spans="1:32" ht="16" x14ac:dyDescent="0.2">
      <c r="A126" s="3" t="s">
        <v>55</v>
      </c>
      <c r="B126" s="2" t="s">
        <v>241</v>
      </c>
      <c r="C126" s="3">
        <v>2024</v>
      </c>
      <c r="D126" s="3" t="s">
        <v>34</v>
      </c>
      <c r="E126" s="3" t="s">
        <v>111</v>
      </c>
      <c r="F126" s="4">
        <v>84</v>
      </c>
      <c r="G126" s="5">
        <v>240</v>
      </c>
      <c r="H126" s="5">
        <v>256</v>
      </c>
      <c r="I126" s="5">
        <f>IF(AND(G126&lt;&gt;"",H126&lt;&gt;""),(G126+H126)/2,"")</f>
        <v>248</v>
      </c>
      <c r="J126" s="4">
        <v>85</v>
      </c>
      <c r="K126" s="4">
        <v>91</v>
      </c>
      <c r="L126" s="4">
        <f>IF(AND(J126&lt;&gt;"",K126&lt;&gt;""),(J126+K126)/2,"")</f>
        <v>88</v>
      </c>
      <c r="M126" s="6">
        <f>IF(L126&lt;&gt;"",L126/33.7,"")</f>
        <v>2.611275964391691</v>
      </c>
      <c r="N126" s="6">
        <f>IF(AND(I126&lt;&gt;"",F126&lt;&gt;""),I126/F126,"")</f>
        <v>2.9523809523809526</v>
      </c>
      <c r="O126" s="2" t="s">
        <v>43</v>
      </c>
      <c r="P126" s="2" t="s">
        <v>44</v>
      </c>
      <c r="Q126" s="2"/>
      <c r="R126" s="3" t="s">
        <v>62</v>
      </c>
      <c r="S126" s="3" t="s">
        <v>63</v>
      </c>
      <c r="T126" s="2"/>
      <c r="U126" s="3"/>
      <c r="V126" s="3"/>
      <c r="W126" s="3"/>
      <c r="X126" s="3"/>
      <c r="Y126" s="3" t="str">
        <f>IF(AND(U126&lt;&gt;"",V126&lt;&gt;""),U126*V126,"")</f>
        <v/>
      </c>
      <c r="Z126" s="6"/>
      <c r="AA126" s="6"/>
      <c r="AB126" s="6"/>
      <c r="AC126" s="4"/>
      <c r="AD126" s="4"/>
      <c r="AE126" s="4"/>
      <c r="AF126" s="2"/>
    </row>
    <row r="127" spans="1:32" ht="16" x14ac:dyDescent="0.2">
      <c r="A127" s="3" t="s">
        <v>55</v>
      </c>
      <c r="B127" s="2" t="s">
        <v>242</v>
      </c>
      <c r="C127" s="3">
        <v>2024</v>
      </c>
      <c r="D127" s="3" t="s">
        <v>34</v>
      </c>
      <c r="E127" s="3" t="s">
        <v>50</v>
      </c>
      <c r="F127" s="4">
        <v>105</v>
      </c>
      <c r="G127" s="5">
        <v>301</v>
      </c>
      <c r="H127" s="5">
        <v>321</v>
      </c>
      <c r="I127" s="5">
        <f>IF(AND(G127&lt;&gt;"",H127&lt;&gt;""),(G127+H127)/2,"")</f>
        <v>311</v>
      </c>
      <c r="J127" s="4">
        <v>86</v>
      </c>
      <c r="K127" s="4">
        <v>90</v>
      </c>
      <c r="L127" s="4">
        <f>IF(AND(J127&lt;&gt;"",K127&lt;&gt;""),(J127+K127)/2,"")</f>
        <v>88</v>
      </c>
      <c r="M127" s="6">
        <f>IF(L127&lt;&gt;"",L127/33.7,"")</f>
        <v>2.611275964391691</v>
      </c>
      <c r="N127" s="6">
        <f>IF(AND(I127&lt;&gt;"",F127&lt;&gt;""),I127/F127,"")</f>
        <v>2.961904761904762</v>
      </c>
      <c r="O127" s="2" t="s">
        <v>43</v>
      </c>
      <c r="P127" s="2" t="s">
        <v>44</v>
      </c>
      <c r="Q127" s="2"/>
      <c r="R127" s="3" t="s">
        <v>57</v>
      </c>
      <c r="S127" s="3" t="s">
        <v>243</v>
      </c>
      <c r="T127" s="2"/>
      <c r="U127" s="3"/>
      <c r="V127" s="3"/>
      <c r="W127" s="3"/>
      <c r="X127" s="3"/>
      <c r="Y127" s="3" t="str">
        <f>IF(AND(U127&lt;&gt;"",V127&lt;&gt;""),U127*V127,"")</f>
        <v/>
      </c>
      <c r="Z127" s="6"/>
      <c r="AA127" s="6"/>
      <c r="AB127" s="6"/>
      <c r="AC127" s="4"/>
      <c r="AD127" s="4"/>
      <c r="AE127" s="4"/>
      <c r="AF127" s="2"/>
    </row>
    <row r="128" spans="1:32" ht="16" x14ac:dyDescent="0.2">
      <c r="A128" s="3" t="s">
        <v>55</v>
      </c>
      <c r="B128" s="2" t="s">
        <v>244</v>
      </c>
      <c r="C128" s="3">
        <v>2024</v>
      </c>
      <c r="D128" s="3" t="s">
        <v>34</v>
      </c>
      <c r="E128" s="3" t="s">
        <v>35</v>
      </c>
      <c r="F128" s="4">
        <v>111</v>
      </c>
      <c r="G128" s="5">
        <v>274</v>
      </c>
      <c r="H128" s="5">
        <v>291</v>
      </c>
      <c r="I128" s="5">
        <f>IF(AND(G128&lt;&gt;"",H128&lt;&gt;""),(G128+H128)/2,"")</f>
        <v>282.5</v>
      </c>
      <c r="J128" s="4">
        <v>77</v>
      </c>
      <c r="K128" s="4">
        <v>81</v>
      </c>
      <c r="L128" s="4">
        <f>IF(AND(J128&lt;&gt;"",K128&lt;&gt;""),(J128+K128)/2,"")</f>
        <v>79</v>
      </c>
      <c r="M128" s="6">
        <f>IF(L128&lt;&gt;"",L128/33.7,"")</f>
        <v>2.3442136498516319</v>
      </c>
      <c r="N128" s="6">
        <f>IF(AND(I128&lt;&gt;"",F128&lt;&gt;""),I128/F128,"")</f>
        <v>2.545045045045045</v>
      </c>
      <c r="O128" s="2" t="s">
        <v>43</v>
      </c>
      <c r="P128" s="2" t="s">
        <v>44</v>
      </c>
      <c r="Q128" s="2"/>
      <c r="R128" s="3" t="s">
        <v>57</v>
      </c>
      <c r="S128" s="3" t="s">
        <v>243</v>
      </c>
      <c r="T128" s="2"/>
      <c r="U128" s="3"/>
      <c r="V128" s="3"/>
      <c r="W128" s="3"/>
      <c r="X128" s="3"/>
      <c r="Y128" s="3" t="str">
        <f>IF(AND(U128&lt;&gt;"",V128&lt;&gt;""),U128*V128,"")</f>
        <v/>
      </c>
      <c r="Z128" s="6"/>
      <c r="AA128" s="6"/>
      <c r="AB128" s="6"/>
      <c r="AC128" s="4"/>
      <c r="AD128" s="4"/>
      <c r="AE128" s="4"/>
      <c r="AF128" s="2"/>
    </row>
    <row r="129" spans="1:32" ht="16" x14ac:dyDescent="0.2">
      <c r="A129" s="3" t="s">
        <v>55</v>
      </c>
      <c r="B129" s="2" t="s">
        <v>61</v>
      </c>
      <c r="C129" s="3">
        <v>2024</v>
      </c>
      <c r="D129" s="3" t="s">
        <v>34</v>
      </c>
      <c r="E129" s="3" t="s">
        <v>111</v>
      </c>
      <c r="F129" s="4">
        <v>105</v>
      </c>
      <c r="G129" s="5">
        <v>298</v>
      </c>
      <c r="H129" s="5">
        <v>317</v>
      </c>
      <c r="I129" s="5">
        <f>IF(AND(G129&lt;&gt;"",H129&lt;&gt;""),(G129+H129)/2,"")</f>
        <v>307.5</v>
      </c>
      <c r="J129" s="4">
        <v>84</v>
      </c>
      <c r="K129" s="4">
        <v>90</v>
      </c>
      <c r="L129" s="4">
        <f>IF(AND(J129&lt;&gt;"",K129&lt;&gt;""),(J129+K129)/2,"")</f>
        <v>87</v>
      </c>
      <c r="M129" s="6">
        <f>IF(L129&lt;&gt;"",L129/33.7,"")</f>
        <v>2.58160237388724</v>
      </c>
      <c r="N129" s="6">
        <f>IF(AND(I129&lt;&gt;"",F129&lt;&gt;""),I129/F129,"")</f>
        <v>2.9285714285714284</v>
      </c>
      <c r="O129" s="2" t="s">
        <v>43</v>
      </c>
      <c r="P129" s="2" t="s">
        <v>44</v>
      </c>
      <c r="Q129" s="2"/>
      <c r="R129" s="3" t="s">
        <v>57</v>
      </c>
      <c r="S129" s="3" t="s">
        <v>243</v>
      </c>
      <c r="T129" s="2"/>
      <c r="U129" s="3"/>
      <c r="V129" s="3"/>
      <c r="W129" s="3"/>
      <c r="X129" s="3"/>
      <c r="Y129" s="3" t="str">
        <f>IF(AND(U129&lt;&gt;"",V129&lt;&gt;""),U129*V129,"")</f>
        <v/>
      </c>
      <c r="Z129" s="6"/>
      <c r="AA129" s="6"/>
      <c r="AB129" s="6"/>
      <c r="AC129" s="4"/>
      <c r="AD129" s="4"/>
      <c r="AE129" s="4"/>
      <c r="AF129" s="2"/>
    </row>
    <row r="130" spans="1:32" ht="16" x14ac:dyDescent="0.2">
      <c r="A130" s="3" t="s">
        <v>55</v>
      </c>
      <c r="B130" s="2" t="s">
        <v>64</v>
      </c>
      <c r="C130" s="3">
        <v>2024</v>
      </c>
      <c r="D130" s="3" t="s">
        <v>42</v>
      </c>
      <c r="E130" s="3" t="s">
        <v>35</v>
      </c>
      <c r="F130" s="4">
        <v>111</v>
      </c>
      <c r="G130" s="5">
        <v>296</v>
      </c>
      <c r="H130" s="5">
        <v>296</v>
      </c>
      <c r="I130" s="5">
        <f>IF(AND(G130&lt;&gt;"",H130&lt;&gt;""),(G130+H130)/2,"")</f>
        <v>296</v>
      </c>
      <c r="J130" s="4">
        <v>80</v>
      </c>
      <c r="K130" s="4">
        <v>80</v>
      </c>
      <c r="L130" s="4">
        <f>IF(AND(J130&lt;&gt;"",K130&lt;&gt;""),(J130+K130)/2,"")</f>
        <v>80</v>
      </c>
      <c r="M130" s="6">
        <f>IF(L130&lt;&gt;"",L130/33.7,"")</f>
        <v>2.3738872403560829</v>
      </c>
      <c r="N130" s="6">
        <f>IF(AND(I130&lt;&gt;"",F130&lt;&gt;""),I130/F130,"")</f>
        <v>2.6666666666666665</v>
      </c>
      <c r="O130" s="2" t="s">
        <v>43</v>
      </c>
      <c r="P130" s="2" t="s">
        <v>44</v>
      </c>
      <c r="Q130" s="2"/>
      <c r="R130" s="3" t="s">
        <v>57</v>
      </c>
      <c r="S130" s="3" t="s">
        <v>65</v>
      </c>
      <c r="T130" s="2"/>
      <c r="U130" s="3"/>
      <c r="V130" s="3"/>
      <c r="W130" s="3"/>
      <c r="X130" s="3"/>
      <c r="Y130" s="3" t="str">
        <f>IF(AND(U130&lt;&gt;"",V130&lt;&gt;""),U130*V130,"")</f>
        <v/>
      </c>
      <c r="Z130" s="6"/>
      <c r="AA130" s="6"/>
      <c r="AB130" s="6"/>
      <c r="AC130" s="4"/>
      <c r="AD130" s="4"/>
      <c r="AE130" s="4"/>
      <c r="AF130" s="2"/>
    </row>
    <row r="131" spans="1:32" ht="16" x14ac:dyDescent="0.2">
      <c r="A131" s="3" t="s">
        <v>55</v>
      </c>
      <c r="B131" s="2" t="s">
        <v>66</v>
      </c>
      <c r="C131" s="3">
        <v>2024</v>
      </c>
      <c r="D131" s="3" t="s">
        <v>42</v>
      </c>
      <c r="E131" s="3" t="s">
        <v>35</v>
      </c>
      <c r="F131" s="4">
        <v>111</v>
      </c>
      <c r="G131" s="5">
        <v>217</v>
      </c>
      <c r="H131" s="5">
        <v>217</v>
      </c>
      <c r="I131" s="5">
        <f>IF(AND(G131&lt;&gt;"",H131&lt;&gt;""),(G131+H131)/2,"")</f>
        <v>217</v>
      </c>
      <c r="J131" s="4">
        <v>86</v>
      </c>
      <c r="K131" s="4">
        <v>86</v>
      </c>
      <c r="L131" s="4">
        <f>IF(AND(J131&lt;&gt;"",K131&lt;&gt;""),(J131+K131)/2,"")</f>
        <v>86</v>
      </c>
      <c r="M131" s="6">
        <f>IF(L131&lt;&gt;"",L131/33.7,"")</f>
        <v>2.5519287833827891</v>
      </c>
      <c r="N131" s="6">
        <f>IF(AND(I131&lt;&gt;"",F131&lt;&gt;""),I131/F131,"")</f>
        <v>1.954954954954955</v>
      </c>
      <c r="O131" s="2" t="s">
        <v>43</v>
      </c>
      <c r="P131" s="2" t="s">
        <v>44</v>
      </c>
      <c r="Q131" s="2"/>
      <c r="R131" s="3" t="s">
        <v>57</v>
      </c>
      <c r="S131" s="3" t="s">
        <v>65</v>
      </c>
      <c r="T131" s="2"/>
      <c r="U131" s="3"/>
      <c r="V131" s="3"/>
      <c r="W131" s="3"/>
      <c r="X131" s="3"/>
      <c r="Y131" s="3" t="str">
        <f>IF(AND(U131&lt;&gt;"",V131&lt;&gt;""),U131*V131,"")</f>
        <v/>
      </c>
      <c r="Z131" s="6"/>
      <c r="AA131" s="6"/>
      <c r="AB131" s="6"/>
      <c r="AC131" s="4"/>
      <c r="AD131" s="4"/>
      <c r="AE131" s="4"/>
      <c r="AF131" s="2"/>
    </row>
    <row r="132" spans="1:32" ht="16" x14ac:dyDescent="0.2">
      <c r="A132" s="3" t="s">
        <v>55</v>
      </c>
      <c r="B132" s="2" t="s">
        <v>66</v>
      </c>
      <c r="C132" s="3">
        <v>2024</v>
      </c>
      <c r="D132" s="3" t="s">
        <v>42</v>
      </c>
      <c r="E132" s="3" t="s">
        <v>35</v>
      </c>
      <c r="F132" s="4">
        <v>111</v>
      </c>
      <c r="G132" s="5">
        <v>307</v>
      </c>
      <c r="H132" s="5">
        <v>307</v>
      </c>
      <c r="I132" s="5">
        <f>IF(AND(G132&lt;&gt;"",H132&lt;&gt;""),(G132+H132)/2,"")</f>
        <v>307</v>
      </c>
      <c r="J132" s="4">
        <v>83</v>
      </c>
      <c r="K132" s="4">
        <v>83</v>
      </c>
      <c r="L132" s="4">
        <f>IF(AND(J132&lt;&gt;"",K132&lt;&gt;""),(J132+K132)/2,"")</f>
        <v>83</v>
      </c>
      <c r="M132" s="6">
        <f>IF(L132&lt;&gt;"",L132/33.7,"")</f>
        <v>2.4629080118694362</v>
      </c>
      <c r="N132" s="6">
        <f>IF(AND(I132&lt;&gt;"",F132&lt;&gt;""),I132/F132,"")</f>
        <v>2.7657657657657659</v>
      </c>
      <c r="O132" s="2" t="s">
        <v>43</v>
      </c>
      <c r="P132" s="2" t="s">
        <v>44</v>
      </c>
      <c r="Q132" s="2"/>
      <c r="R132" s="3" t="s">
        <v>57</v>
      </c>
      <c r="S132" s="3" t="s">
        <v>65</v>
      </c>
      <c r="T132" s="2"/>
      <c r="U132" s="3"/>
      <c r="V132" s="3"/>
      <c r="W132" s="3"/>
      <c r="X132" s="3"/>
      <c r="Y132" s="3" t="str">
        <f>IF(AND(U132&lt;&gt;"",V132&lt;&gt;""),U132*V132,"")</f>
        <v/>
      </c>
      <c r="Z132" s="6"/>
      <c r="AA132" s="6"/>
      <c r="AB132" s="6"/>
      <c r="AC132" s="4"/>
      <c r="AD132" s="4"/>
      <c r="AE132" s="4"/>
      <c r="AF132" s="2"/>
    </row>
    <row r="133" spans="1:32" ht="16" x14ac:dyDescent="0.2">
      <c r="A133" s="3" t="s">
        <v>245</v>
      </c>
      <c r="B133" s="2" t="s">
        <v>246</v>
      </c>
      <c r="C133" s="3">
        <v>2024</v>
      </c>
      <c r="D133" s="3" t="s">
        <v>34</v>
      </c>
      <c r="E133" s="3" t="s">
        <v>111</v>
      </c>
      <c r="F133" s="4">
        <v>153.6</v>
      </c>
      <c r="G133" s="5">
        <v>204</v>
      </c>
      <c r="H133" s="5">
        <v>204</v>
      </c>
      <c r="I133" s="5">
        <f>IF(AND(G133&lt;&gt;"",H133&lt;&gt;""),(G133+H133)/2,"")</f>
        <v>204</v>
      </c>
      <c r="J133" s="4">
        <v>53</v>
      </c>
      <c r="K133" s="4">
        <v>53</v>
      </c>
      <c r="L133" s="4">
        <f>IF(AND(J133&lt;&gt;"",K133&lt;&gt;""),(J133+K133)/2,"")</f>
        <v>53</v>
      </c>
      <c r="M133" s="6">
        <f>IF(L133&lt;&gt;"",L133/33.7,"")</f>
        <v>1.5727002967359049</v>
      </c>
      <c r="N133" s="6">
        <f>IF(AND(I133&lt;&gt;"",F133&lt;&gt;""),I133/F133,"")</f>
        <v>1.328125</v>
      </c>
      <c r="O133" s="2" t="s">
        <v>43</v>
      </c>
      <c r="P133" s="2" t="s">
        <v>44</v>
      </c>
      <c r="Q133" s="2"/>
      <c r="R133" s="3" t="s">
        <v>62</v>
      </c>
      <c r="S133" s="3" t="s">
        <v>63</v>
      </c>
      <c r="T133" s="2"/>
      <c r="U133" s="3"/>
      <c r="V133" s="3"/>
      <c r="W133" s="3"/>
      <c r="X133" s="3"/>
      <c r="Y133" s="3" t="str">
        <f>IF(AND(U133&lt;&gt;"",V133&lt;&gt;""),U133*V133,"")</f>
        <v/>
      </c>
      <c r="Z133" s="6"/>
      <c r="AA133" s="6"/>
      <c r="AB133" s="6"/>
      <c r="AC133" s="4"/>
      <c r="AD133" s="4"/>
      <c r="AE133" s="4"/>
      <c r="AF133" s="2"/>
    </row>
    <row r="134" spans="1:32" ht="16" x14ac:dyDescent="0.2">
      <c r="A134" s="3" t="s">
        <v>67</v>
      </c>
      <c r="B134" s="2" t="s">
        <v>68</v>
      </c>
      <c r="C134" s="3">
        <v>2024</v>
      </c>
      <c r="D134" s="3" t="s">
        <v>42</v>
      </c>
      <c r="E134" s="3" t="s">
        <v>50</v>
      </c>
      <c r="F134" s="4">
        <v>119</v>
      </c>
      <c r="G134" s="5">
        <v>314</v>
      </c>
      <c r="H134" s="5">
        <v>314</v>
      </c>
      <c r="I134" s="5">
        <f>IF(AND(G134&lt;&gt;"",H134&lt;&gt;""),(G134+H134)/2,"")</f>
        <v>314</v>
      </c>
      <c r="J134" s="4">
        <v>88</v>
      </c>
      <c r="K134" s="4">
        <v>88</v>
      </c>
      <c r="L134" s="4">
        <f>IF(AND(J134&lt;&gt;"",K134&lt;&gt;""),(J134+K134)/2,"")</f>
        <v>88</v>
      </c>
      <c r="M134" s="6">
        <f>IF(L134&lt;&gt;"",L134/33.7,"")</f>
        <v>2.611275964391691</v>
      </c>
      <c r="N134" s="6">
        <f>IF(AND(I134&lt;&gt;"",F134&lt;&gt;""),I134/F134,"")</f>
        <v>2.6386554621848739</v>
      </c>
      <c r="O134" s="2" t="s">
        <v>43</v>
      </c>
      <c r="P134" s="2" t="s">
        <v>44</v>
      </c>
      <c r="Q134" s="2"/>
      <c r="R134" s="3" t="s">
        <v>69</v>
      </c>
      <c r="S134" s="3" t="s">
        <v>70</v>
      </c>
      <c r="T134" s="2"/>
      <c r="U134" s="3"/>
      <c r="V134" s="3"/>
      <c r="W134" s="3"/>
      <c r="X134" s="3"/>
      <c r="Y134" s="3" t="str">
        <f>IF(AND(U134&lt;&gt;"",V134&lt;&gt;""),U134*V134,"")</f>
        <v/>
      </c>
      <c r="Z134" s="6"/>
      <c r="AA134" s="6"/>
      <c r="AB134" s="6"/>
      <c r="AC134" s="4"/>
      <c r="AD134" s="4"/>
      <c r="AE134" s="4"/>
      <c r="AF134" s="2"/>
    </row>
    <row r="135" spans="1:32" ht="16" x14ac:dyDescent="0.2">
      <c r="A135" s="3" t="s">
        <v>67</v>
      </c>
      <c r="B135" s="2" t="s">
        <v>71</v>
      </c>
      <c r="C135" s="3">
        <v>2024</v>
      </c>
      <c r="D135" s="3" t="s">
        <v>42</v>
      </c>
      <c r="E135" s="3" t="s">
        <v>35</v>
      </c>
      <c r="F135" s="4">
        <v>119.2</v>
      </c>
      <c r="G135" s="5">
        <v>307</v>
      </c>
      <c r="H135" s="5">
        <v>307</v>
      </c>
      <c r="I135" s="5">
        <f>IF(AND(G135&lt;&gt;"",H135&lt;&gt;""),(G135+H135)/2,"")</f>
        <v>307</v>
      </c>
      <c r="J135" s="4">
        <v>89</v>
      </c>
      <c r="K135" s="4">
        <v>89</v>
      </c>
      <c r="L135" s="4">
        <f>IF(AND(J135&lt;&gt;"",K135&lt;&gt;""),(J135+K135)/2,"")</f>
        <v>89</v>
      </c>
      <c r="M135" s="6">
        <f>IF(L135&lt;&gt;"",L135/33.7,"")</f>
        <v>2.6409495548961424</v>
      </c>
      <c r="N135" s="6">
        <f>IF(AND(I135&lt;&gt;"",F135&lt;&gt;""),I135/F135,"")</f>
        <v>2.575503355704698</v>
      </c>
      <c r="O135" s="2" t="s">
        <v>43</v>
      </c>
      <c r="P135" s="2" t="s">
        <v>44</v>
      </c>
      <c r="Q135" s="2"/>
      <c r="R135" s="3" t="s">
        <v>69</v>
      </c>
      <c r="S135" s="3" t="s">
        <v>70</v>
      </c>
      <c r="T135" s="2"/>
      <c r="U135" s="3"/>
      <c r="V135" s="3"/>
      <c r="W135" s="3"/>
      <c r="X135" s="3"/>
      <c r="Y135" s="3" t="str">
        <f>IF(AND(U135&lt;&gt;"",V135&lt;&gt;""),U135*V135,"")</f>
        <v/>
      </c>
      <c r="Z135" s="6"/>
      <c r="AA135" s="6"/>
      <c r="AB135" s="6"/>
      <c r="AC135" s="4"/>
      <c r="AD135" s="4"/>
      <c r="AE135" s="4"/>
      <c r="AF135" s="2"/>
    </row>
    <row r="136" spans="1:32" ht="16" x14ac:dyDescent="0.2">
      <c r="A136" s="3" t="s">
        <v>72</v>
      </c>
      <c r="B136" s="2" t="s">
        <v>247</v>
      </c>
      <c r="C136" s="3">
        <v>2024</v>
      </c>
      <c r="D136" s="3" t="s">
        <v>42</v>
      </c>
      <c r="E136" s="3" t="s">
        <v>35</v>
      </c>
      <c r="F136" s="4">
        <v>99</v>
      </c>
      <c r="G136" s="5">
        <v>279</v>
      </c>
      <c r="H136" s="5">
        <v>279</v>
      </c>
      <c r="I136" s="5">
        <f>IF(AND(G136&lt;&gt;"",H136&lt;&gt;""),(G136+H136)/2,"")</f>
        <v>279</v>
      </c>
      <c r="J136" s="4">
        <v>96</v>
      </c>
      <c r="K136" s="4">
        <v>96</v>
      </c>
      <c r="L136" s="4">
        <f>IF(AND(J136&lt;&gt;"",K136&lt;&gt;""),(J136+K136)/2,"")</f>
        <v>96</v>
      </c>
      <c r="M136" s="6">
        <f>IF(L136&lt;&gt;"",L136/33.7,"")</f>
        <v>2.8486646884272995</v>
      </c>
      <c r="N136" s="6">
        <f>IF(AND(I136&lt;&gt;"",F136&lt;&gt;""),I136/F136,"")</f>
        <v>2.8181818181818183</v>
      </c>
      <c r="O136" s="2" t="s">
        <v>43</v>
      </c>
      <c r="P136" s="2" t="s">
        <v>44</v>
      </c>
      <c r="Q136" s="2"/>
      <c r="R136" s="3" t="s">
        <v>248</v>
      </c>
      <c r="S136" s="3" t="s">
        <v>249</v>
      </c>
      <c r="T136" s="2"/>
      <c r="U136" s="3"/>
      <c r="V136" s="3"/>
      <c r="W136" s="3"/>
      <c r="X136" s="3"/>
      <c r="Y136" s="3" t="str">
        <f>IF(AND(U136&lt;&gt;"",V136&lt;&gt;""),U136*V136,"")</f>
        <v/>
      </c>
      <c r="Z136" s="6"/>
      <c r="AA136" s="6"/>
      <c r="AB136" s="6"/>
      <c r="AC136" s="4"/>
      <c r="AD136" s="4"/>
      <c r="AE136" s="4"/>
      <c r="AF136" s="2"/>
    </row>
    <row r="137" spans="1:32" ht="16" x14ac:dyDescent="0.2">
      <c r="A137" s="3" t="s">
        <v>72</v>
      </c>
      <c r="B137" s="2" t="s">
        <v>250</v>
      </c>
      <c r="C137" s="3">
        <v>2024</v>
      </c>
      <c r="D137" s="3" t="s">
        <v>42</v>
      </c>
      <c r="E137" s="3" t="s">
        <v>50</v>
      </c>
      <c r="F137" s="4">
        <v>119.2</v>
      </c>
      <c r="G137" s="5">
        <v>324</v>
      </c>
      <c r="H137" s="5">
        <v>324</v>
      </c>
      <c r="I137" s="5">
        <f>IF(AND(G137&lt;&gt;"",H137&lt;&gt;""),(G137+H137)/2,"")</f>
        <v>324</v>
      </c>
      <c r="J137" s="4">
        <v>92</v>
      </c>
      <c r="K137" s="4">
        <v>92</v>
      </c>
      <c r="L137" s="4">
        <f>IF(AND(J137&lt;&gt;"",K137&lt;&gt;""),(J137+K137)/2,"")</f>
        <v>92</v>
      </c>
      <c r="M137" s="6">
        <f>IF(L137&lt;&gt;"",L137/33.7,"")</f>
        <v>2.7299703264094952</v>
      </c>
      <c r="N137" s="6">
        <f>IF(AND(I137&lt;&gt;"",F137&lt;&gt;""),I137/F137,"")</f>
        <v>2.7181208053691273</v>
      </c>
      <c r="O137" s="2" t="s">
        <v>43</v>
      </c>
      <c r="P137" s="2" t="s">
        <v>44</v>
      </c>
      <c r="Q137" s="2"/>
      <c r="R137" s="3" t="s">
        <v>248</v>
      </c>
      <c r="S137" s="3" t="s">
        <v>249</v>
      </c>
      <c r="T137" s="2"/>
      <c r="U137" s="3"/>
      <c r="V137" s="3"/>
      <c r="W137" s="3"/>
      <c r="X137" s="3"/>
      <c r="Y137" s="3" t="str">
        <f>IF(AND(U137&lt;&gt;"",V137&lt;&gt;""),U137*V137,"")</f>
        <v/>
      </c>
      <c r="Z137" s="6"/>
      <c r="AA137" s="6"/>
      <c r="AB137" s="6"/>
      <c r="AC137" s="4"/>
      <c r="AD137" s="4"/>
      <c r="AE137" s="4"/>
      <c r="AF137" s="2"/>
    </row>
    <row r="138" spans="1:32" ht="16" x14ac:dyDescent="0.2">
      <c r="A138" s="3" t="s">
        <v>72</v>
      </c>
      <c r="B138" s="2" t="s">
        <v>251</v>
      </c>
      <c r="C138" s="3">
        <v>2024</v>
      </c>
      <c r="D138" s="3" t="s">
        <v>42</v>
      </c>
      <c r="E138" s="3" t="s">
        <v>35</v>
      </c>
      <c r="F138" s="4">
        <v>99.8</v>
      </c>
      <c r="G138" s="5">
        <v>285</v>
      </c>
      <c r="H138" s="5">
        <v>285</v>
      </c>
      <c r="I138" s="5">
        <f>IF(AND(G138&lt;&gt;"",H138&lt;&gt;""),(G138+H138)/2,"")</f>
        <v>285</v>
      </c>
      <c r="J138" s="4">
        <v>96</v>
      </c>
      <c r="K138" s="4">
        <v>96</v>
      </c>
      <c r="L138" s="4">
        <f>IF(AND(J138&lt;&gt;"",K138&lt;&gt;""),(J138+K138)/2,"")</f>
        <v>96</v>
      </c>
      <c r="M138" s="6">
        <f>IF(L138&lt;&gt;"",L138/33.7,"")</f>
        <v>2.8486646884272995</v>
      </c>
      <c r="N138" s="6">
        <f>IF(AND(I138&lt;&gt;"",F138&lt;&gt;""),I138/F138,"")</f>
        <v>2.8557114228456917</v>
      </c>
      <c r="O138" s="2" t="s">
        <v>43</v>
      </c>
      <c r="P138" s="2" t="s">
        <v>44</v>
      </c>
      <c r="Q138" s="2"/>
      <c r="R138" s="3" t="s">
        <v>62</v>
      </c>
      <c r="S138" s="3" t="s">
        <v>63</v>
      </c>
      <c r="T138" s="2"/>
      <c r="U138" s="3"/>
      <c r="V138" s="3"/>
      <c r="W138" s="3"/>
      <c r="X138" s="3"/>
      <c r="Y138" s="3" t="str">
        <f>IF(AND(U138&lt;&gt;"",V138&lt;&gt;""),U138*V138,"")</f>
        <v/>
      </c>
      <c r="Z138" s="6"/>
      <c r="AA138" s="6"/>
      <c r="AB138" s="6"/>
      <c r="AC138" s="4"/>
      <c r="AD138" s="4"/>
      <c r="AE138" s="4"/>
      <c r="AF138" s="2"/>
    </row>
    <row r="139" spans="1:32" ht="16" x14ac:dyDescent="0.2">
      <c r="A139" s="3" t="s">
        <v>72</v>
      </c>
      <c r="B139" s="2" t="s">
        <v>252</v>
      </c>
      <c r="C139" s="3">
        <v>2024</v>
      </c>
      <c r="D139" s="3" t="s">
        <v>42</v>
      </c>
      <c r="E139" s="3" t="s">
        <v>74</v>
      </c>
      <c r="F139" s="4">
        <v>99.8</v>
      </c>
      <c r="G139" s="5">
        <v>319</v>
      </c>
      <c r="H139" s="5">
        <v>319</v>
      </c>
      <c r="I139" s="5">
        <f>IF(AND(G139&lt;&gt;"",H139&lt;&gt;""),(G139+H139)/2,"")</f>
        <v>319</v>
      </c>
      <c r="J139" s="4">
        <v>108</v>
      </c>
      <c r="K139" s="4">
        <v>108</v>
      </c>
      <c r="L139" s="4">
        <f>IF(AND(J139&lt;&gt;"",K139&lt;&gt;""),(J139+K139)/2,"")</f>
        <v>108</v>
      </c>
      <c r="M139" s="6">
        <f>IF(L139&lt;&gt;"",L139/33.7,"")</f>
        <v>3.2047477744807118</v>
      </c>
      <c r="N139" s="6">
        <f>IF(AND(I139&lt;&gt;"",F139&lt;&gt;""),I139/F139,"")</f>
        <v>3.1963927855711423</v>
      </c>
      <c r="O139" s="2" t="s">
        <v>43</v>
      </c>
      <c r="P139" s="2" t="s">
        <v>44</v>
      </c>
      <c r="Q139" s="2"/>
      <c r="R139" s="3" t="s">
        <v>62</v>
      </c>
      <c r="S139" s="3" t="s">
        <v>63</v>
      </c>
      <c r="T139" s="2"/>
      <c r="U139" s="3"/>
      <c r="V139" s="3"/>
      <c r="W139" s="3"/>
      <c r="X139" s="3"/>
      <c r="Y139" s="3" t="str">
        <f>IF(AND(U139&lt;&gt;"",V139&lt;&gt;""),U139*V139,"")</f>
        <v/>
      </c>
      <c r="Z139" s="6"/>
      <c r="AA139" s="6"/>
      <c r="AB139" s="6"/>
      <c r="AC139" s="4"/>
      <c r="AD139" s="4"/>
      <c r="AE139" s="4"/>
      <c r="AF139" s="2"/>
    </row>
    <row r="140" spans="1:32" ht="16" x14ac:dyDescent="0.2">
      <c r="A140" s="3" t="s">
        <v>72</v>
      </c>
      <c r="B140" s="2" t="s">
        <v>253</v>
      </c>
      <c r="C140" s="3">
        <v>2024</v>
      </c>
      <c r="D140" s="3" t="s">
        <v>86</v>
      </c>
      <c r="E140" s="3" t="s">
        <v>35</v>
      </c>
      <c r="F140" s="4">
        <v>208</v>
      </c>
      <c r="G140" s="5">
        <v>450</v>
      </c>
      <c r="H140" s="5">
        <v>450</v>
      </c>
      <c r="I140" s="5">
        <f>IF(AND(G140&lt;&gt;"",H140&lt;&gt;""),(G140+H140)/2,"")</f>
        <v>450</v>
      </c>
      <c r="J140" s="4">
        <v>63</v>
      </c>
      <c r="K140" s="4">
        <v>63</v>
      </c>
      <c r="L140" s="4">
        <f>IF(AND(J140&lt;&gt;"",K140&lt;&gt;""),(J140+K140)/2,"")</f>
        <v>63</v>
      </c>
      <c r="M140" s="6">
        <f>IF(L140&lt;&gt;"",L140/33.7,"")</f>
        <v>1.8694362017804154</v>
      </c>
      <c r="N140" s="6">
        <f>IF(AND(I140&lt;&gt;"",F140&lt;&gt;""),I140/F140,"")</f>
        <v>2.1634615384615383</v>
      </c>
      <c r="O140" s="2" t="s">
        <v>43</v>
      </c>
      <c r="P140" s="2" t="s">
        <v>44</v>
      </c>
      <c r="Q140" s="2"/>
      <c r="R140" s="3" t="s">
        <v>62</v>
      </c>
      <c r="S140" s="3" t="s">
        <v>63</v>
      </c>
      <c r="T140" s="2"/>
      <c r="U140" s="3"/>
      <c r="V140" s="3"/>
      <c r="W140" s="3"/>
      <c r="X140" s="3"/>
      <c r="Y140" s="3" t="str">
        <f>IF(AND(U140&lt;&gt;"",V140&lt;&gt;""),U140*V140,"")</f>
        <v/>
      </c>
      <c r="Z140" s="6"/>
      <c r="AA140" s="6"/>
      <c r="AB140" s="6"/>
      <c r="AC140" s="4"/>
      <c r="AD140" s="4"/>
      <c r="AE140" s="4"/>
      <c r="AF140" s="2"/>
    </row>
    <row r="141" spans="1:32" ht="16" x14ac:dyDescent="0.2">
      <c r="A141" s="3" t="s">
        <v>72</v>
      </c>
      <c r="B141" s="2" t="s">
        <v>253</v>
      </c>
      <c r="C141" s="3">
        <v>2024</v>
      </c>
      <c r="D141" s="3" t="s">
        <v>86</v>
      </c>
      <c r="E141" s="3" t="s">
        <v>35</v>
      </c>
      <c r="F141" s="4">
        <v>168</v>
      </c>
      <c r="G141" s="5">
        <v>393</v>
      </c>
      <c r="H141" s="5">
        <v>393</v>
      </c>
      <c r="I141" s="5">
        <f>IF(AND(G141&lt;&gt;"",H141&lt;&gt;""),(G141+H141)/2,"")</f>
        <v>393</v>
      </c>
      <c r="J141" s="4">
        <v>67</v>
      </c>
      <c r="K141" s="4">
        <v>67</v>
      </c>
      <c r="L141" s="4">
        <f>IF(AND(J141&lt;&gt;"",K141&lt;&gt;""),(J141+K141)/2,"")</f>
        <v>67</v>
      </c>
      <c r="M141" s="6">
        <f>IF(L141&lt;&gt;"",L141/33.7,"")</f>
        <v>1.9881305637982194</v>
      </c>
      <c r="N141" s="6">
        <f>IF(AND(I141&lt;&gt;"",F141&lt;&gt;""),I141/F141,"")</f>
        <v>2.3392857142857144</v>
      </c>
      <c r="O141" s="2" t="s">
        <v>43</v>
      </c>
      <c r="P141" s="2" t="s">
        <v>44</v>
      </c>
      <c r="Q141" s="2"/>
      <c r="R141" s="3" t="s">
        <v>62</v>
      </c>
      <c r="S141" s="3" t="s">
        <v>63</v>
      </c>
      <c r="T141" s="2"/>
      <c r="U141" s="3"/>
      <c r="V141" s="3"/>
      <c r="W141" s="3"/>
      <c r="X141" s="3"/>
      <c r="Y141" s="3" t="str">
        <f>IF(AND(U141&lt;&gt;"",V141&lt;&gt;""),U141*V141,"")</f>
        <v/>
      </c>
      <c r="Z141" s="6"/>
      <c r="AA141" s="6"/>
      <c r="AB141" s="6"/>
      <c r="AC141" s="4"/>
      <c r="AD141" s="4"/>
      <c r="AE141" s="4"/>
      <c r="AF141" s="2"/>
    </row>
    <row r="142" spans="1:32" ht="16" x14ac:dyDescent="0.2">
      <c r="A142" s="3" t="s">
        <v>254</v>
      </c>
      <c r="B142" s="2" t="s">
        <v>255</v>
      </c>
      <c r="C142" s="3">
        <v>2024</v>
      </c>
      <c r="D142" s="3" t="s">
        <v>34</v>
      </c>
      <c r="E142" s="3" t="s">
        <v>35</v>
      </c>
      <c r="F142" s="4">
        <v>115.8</v>
      </c>
      <c r="G142" s="5"/>
      <c r="H142" s="5"/>
      <c r="I142" s="5" t="str">
        <f>IF(AND(G142&lt;&gt;"",H142&lt;&gt;""),(G142+H142)/2,"")</f>
        <v/>
      </c>
      <c r="J142" s="4">
        <v>70</v>
      </c>
      <c r="K142" s="4">
        <v>98</v>
      </c>
      <c r="L142" s="4">
        <f>IF(AND(J142&lt;&gt;"",K142&lt;&gt;""),(J142+K142)/2,"")</f>
        <v>84</v>
      </c>
      <c r="M142" s="6">
        <f>IF(L142&lt;&gt;"",L142/33.7,"")</f>
        <v>2.4925816023738872</v>
      </c>
      <c r="N142" s="6" t="str">
        <f>IF(AND(I142&lt;&gt;"",F142&lt;&gt;""),I142/F142,"")</f>
        <v/>
      </c>
      <c r="O142" s="2" t="s">
        <v>43</v>
      </c>
      <c r="P142" s="2" t="s">
        <v>44</v>
      </c>
      <c r="Q142" s="2"/>
      <c r="R142" s="3" t="s">
        <v>62</v>
      </c>
      <c r="S142" s="3" t="s">
        <v>63</v>
      </c>
      <c r="T142" s="2"/>
      <c r="U142" s="3"/>
      <c r="V142" s="3"/>
      <c r="W142" s="3"/>
      <c r="X142" s="3"/>
      <c r="Y142" s="3" t="str">
        <f>IF(AND(U142&lt;&gt;"",V142&lt;&gt;""),U142*V142,"")</f>
        <v/>
      </c>
      <c r="Z142" s="6"/>
      <c r="AA142" s="6"/>
      <c r="AB142" s="6"/>
      <c r="AC142" s="4"/>
      <c r="AD142" s="4"/>
      <c r="AE142" s="4"/>
      <c r="AF142" s="2"/>
    </row>
    <row r="143" spans="1:32" ht="16" x14ac:dyDescent="0.2">
      <c r="A143" s="3" t="s">
        <v>256</v>
      </c>
      <c r="B143" s="2" t="s">
        <v>257</v>
      </c>
      <c r="C143" s="3">
        <v>2024</v>
      </c>
      <c r="D143" s="3" t="s">
        <v>34</v>
      </c>
      <c r="E143" s="3" t="s">
        <v>74</v>
      </c>
      <c r="F143" s="4">
        <v>42.2</v>
      </c>
      <c r="G143" s="5">
        <v>141</v>
      </c>
      <c r="H143" s="5">
        <v>149</v>
      </c>
      <c r="I143" s="5">
        <f>IF(AND(G143&lt;&gt;"",H143&lt;&gt;""),(G143+H143)/2,"")</f>
        <v>145</v>
      </c>
      <c r="J143" s="4">
        <v>110</v>
      </c>
      <c r="K143" s="4">
        <v>116</v>
      </c>
      <c r="L143" s="4">
        <f>IF(AND(J143&lt;&gt;"",K143&lt;&gt;""),(J143+K143)/2,"")</f>
        <v>113</v>
      </c>
      <c r="M143" s="6">
        <f>IF(L143&lt;&gt;"",L143/33.7,"")</f>
        <v>3.353115727002967</v>
      </c>
      <c r="N143" s="6">
        <f>IF(AND(I143&lt;&gt;"",F143&lt;&gt;""),I143/F143,"")</f>
        <v>3.4360189573459712</v>
      </c>
      <c r="O143" s="2" t="s">
        <v>43</v>
      </c>
      <c r="P143" s="2" t="s">
        <v>44</v>
      </c>
      <c r="Q143" s="2"/>
      <c r="R143" s="3" t="s">
        <v>62</v>
      </c>
      <c r="S143" s="3" t="s">
        <v>63</v>
      </c>
      <c r="T143" s="2"/>
      <c r="U143" s="3"/>
      <c r="V143" s="3"/>
      <c r="W143" s="3"/>
      <c r="X143" s="3"/>
      <c r="Y143" s="3" t="str">
        <f>IF(AND(U143&lt;&gt;"",V143&lt;&gt;""),U143*V143,"")</f>
        <v/>
      </c>
      <c r="Z143" s="6"/>
      <c r="AA143" s="6"/>
      <c r="AB143" s="6"/>
      <c r="AC143" s="4"/>
      <c r="AD143" s="4"/>
      <c r="AE143" s="4"/>
      <c r="AF143" s="2"/>
    </row>
    <row r="144" spans="1:32" ht="16" x14ac:dyDescent="0.2">
      <c r="A144" s="3" t="s">
        <v>81</v>
      </c>
      <c r="B144" s="2" t="s">
        <v>258</v>
      </c>
      <c r="C144" s="3">
        <v>2024</v>
      </c>
      <c r="D144" s="3" t="s">
        <v>42</v>
      </c>
      <c r="E144" s="3" t="s">
        <v>74</v>
      </c>
      <c r="F144" s="4">
        <v>75.3</v>
      </c>
      <c r="G144" s="5">
        <v>194</v>
      </c>
      <c r="H144" s="5">
        <v>231</v>
      </c>
      <c r="I144" s="5">
        <f>IF(AND(G144&lt;&gt;"",H144&lt;&gt;""),(G144+H144)/2,"")</f>
        <v>212.5</v>
      </c>
      <c r="J144" s="4">
        <v>79</v>
      </c>
      <c r="K144" s="4">
        <v>92</v>
      </c>
      <c r="L144" s="4">
        <f>IF(AND(J144&lt;&gt;"",K144&lt;&gt;""),(J144+K144)/2,"")</f>
        <v>85.5</v>
      </c>
      <c r="M144" s="6">
        <f>IF(L144&lt;&gt;"",L144/33.7,"")</f>
        <v>2.5370919881305638</v>
      </c>
      <c r="N144" s="6">
        <f>IF(AND(I144&lt;&gt;"",F144&lt;&gt;""),I144/F144,"")</f>
        <v>2.8220451527224437</v>
      </c>
      <c r="O144" s="2" t="s">
        <v>43</v>
      </c>
      <c r="P144" s="2" t="s">
        <v>44</v>
      </c>
      <c r="Q144" s="2"/>
      <c r="R144" s="3" t="s">
        <v>62</v>
      </c>
      <c r="S144" s="3" t="s">
        <v>63</v>
      </c>
      <c r="T144" s="2"/>
      <c r="U144" s="3"/>
      <c r="V144" s="3"/>
      <c r="W144" s="3"/>
      <c r="X144" s="3"/>
      <c r="Y144" s="3" t="str">
        <f>IF(AND(U144&lt;&gt;"",V144&lt;&gt;""),U144*V144,"")</f>
        <v/>
      </c>
      <c r="Z144" s="6"/>
      <c r="AA144" s="6"/>
      <c r="AB144" s="6"/>
      <c r="AC144" s="4"/>
      <c r="AD144" s="4"/>
      <c r="AE144" s="4"/>
      <c r="AF144" s="2"/>
    </row>
    <row r="145" spans="1:32" ht="16" x14ac:dyDescent="0.2">
      <c r="A145" s="3" t="s">
        <v>84</v>
      </c>
      <c r="B145" s="2" t="s">
        <v>85</v>
      </c>
      <c r="C145" s="3">
        <v>2024</v>
      </c>
      <c r="D145" s="3" t="s">
        <v>86</v>
      </c>
      <c r="E145" s="3" t="s">
        <v>35</v>
      </c>
      <c r="F145" s="4">
        <v>124</v>
      </c>
      <c r="G145" s="5">
        <v>240</v>
      </c>
      <c r="H145" s="5">
        <v>240</v>
      </c>
      <c r="I145" s="5">
        <f>IF(AND(G145&lt;&gt;"",H145&lt;&gt;""),(G145+H145)/2,"")</f>
        <v>240</v>
      </c>
      <c r="J145" s="4">
        <v>68</v>
      </c>
      <c r="K145" s="4">
        <v>68</v>
      </c>
      <c r="L145" s="4">
        <f>IF(AND(J145&lt;&gt;"",K145&lt;&gt;""),(J145+K145)/2,"")</f>
        <v>68</v>
      </c>
      <c r="M145" s="6">
        <f>IF(L145&lt;&gt;"",L145/33.7,"")</f>
        <v>2.0178041543026706</v>
      </c>
      <c r="N145" s="6">
        <f>IF(AND(I145&lt;&gt;"",F145&lt;&gt;""),I145/F145,"")</f>
        <v>1.935483870967742</v>
      </c>
      <c r="O145" s="2" t="s">
        <v>43</v>
      </c>
      <c r="P145" s="2" t="s">
        <v>44</v>
      </c>
      <c r="Q145" s="2"/>
      <c r="R145" s="3" t="s">
        <v>87</v>
      </c>
      <c r="S145" s="3" t="s">
        <v>88</v>
      </c>
      <c r="T145" s="2"/>
      <c r="U145" s="3"/>
      <c r="V145" s="3"/>
      <c r="W145" s="3"/>
      <c r="X145" s="3"/>
      <c r="Y145" s="3" t="str">
        <f>IF(AND(U145&lt;&gt;"",V145&lt;&gt;""),U145*V145,"")</f>
        <v/>
      </c>
      <c r="Z145" s="6"/>
      <c r="AA145" s="6"/>
      <c r="AB145" s="6"/>
      <c r="AC145" s="4"/>
      <c r="AD145" s="4"/>
      <c r="AE145" s="4"/>
      <c r="AF145" s="2"/>
    </row>
    <row r="146" spans="1:32" ht="16" x14ac:dyDescent="0.2">
      <c r="A146" s="3" t="s">
        <v>84</v>
      </c>
      <c r="B146" s="2" t="s">
        <v>89</v>
      </c>
      <c r="C146" s="3">
        <v>2024</v>
      </c>
      <c r="D146" s="3" t="s">
        <v>86</v>
      </c>
      <c r="E146" s="3" t="s">
        <v>35</v>
      </c>
      <c r="F146" s="4">
        <v>165.2</v>
      </c>
      <c r="G146" s="5">
        <v>300</v>
      </c>
      <c r="H146" s="5">
        <v>320</v>
      </c>
      <c r="I146" s="5">
        <f>IF(AND(G146&lt;&gt;"",H146&lt;&gt;""),(G146+H146)/2,"")</f>
        <v>310</v>
      </c>
      <c r="J146" s="4">
        <v>66</v>
      </c>
      <c r="K146" s="4">
        <v>70</v>
      </c>
      <c r="L146" s="4">
        <f>IF(AND(J146&lt;&gt;"",K146&lt;&gt;""),(J146+K146)/2,"")</f>
        <v>68</v>
      </c>
      <c r="M146" s="6">
        <f>IF(L146&lt;&gt;"",L146/33.7,"")</f>
        <v>2.0178041543026706</v>
      </c>
      <c r="N146" s="6">
        <f>IF(AND(I146&lt;&gt;"",F146&lt;&gt;""),I146/F146,"")</f>
        <v>1.8765133171912833</v>
      </c>
      <c r="O146" s="2" t="s">
        <v>43</v>
      </c>
      <c r="P146" s="2" t="s">
        <v>44</v>
      </c>
      <c r="Q146" s="2"/>
      <c r="R146" s="3" t="s">
        <v>87</v>
      </c>
      <c r="S146" s="3" t="s">
        <v>88</v>
      </c>
      <c r="T146" s="2"/>
      <c r="U146" s="3"/>
      <c r="V146" s="3"/>
      <c r="W146" s="3"/>
      <c r="X146" s="3"/>
      <c r="Y146" s="3" t="str">
        <f>IF(AND(U146&lt;&gt;"",V146&lt;&gt;""),U146*V146,"")</f>
        <v/>
      </c>
      <c r="Z146" s="6"/>
      <c r="AA146" s="6"/>
      <c r="AB146" s="6"/>
      <c r="AC146" s="4"/>
      <c r="AD146" s="4"/>
      <c r="AE146" s="4"/>
      <c r="AF146" s="2"/>
    </row>
    <row r="147" spans="1:32" ht="16" x14ac:dyDescent="0.2">
      <c r="A147" s="3" t="s">
        <v>84</v>
      </c>
      <c r="B147" s="2" t="s">
        <v>90</v>
      </c>
      <c r="C147" s="3">
        <v>2024</v>
      </c>
      <c r="D147" s="3" t="s">
        <v>42</v>
      </c>
      <c r="E147" s="3" t="s">
        <v>35</v>
      </c>
      <c r="F147" s="4">
        <v>91.4</v>
      </c>
      <c r="G147" s="5">
        <v>230</v>
      </c>
      <c r="H147" s="5">
        <v>230</v>
      </c>
      <c r="I147" s="5">
        <f>IF(AND(G147&lt;&gt;"",H147&lt;&gt;""),(G147+H147)/2,"")</f>
        <v>230</v>
      </c>
      <c r="J147" s="4">
        <v>91</v>
      </c>
      <c r="K147" s="4">
        <v>91</v>
      </c>
      <c r="L147" s="4">
        <f>IF(AND(J147&lt;&gt;"",K147&lt;&gt;""),(J147+K147)/2,"")</f>
        <v>91</v>
      </c>
      <c r="M147" s="6">
        <f>IF(L147&lt;&gt;"",L147/33.7,"")</f>
        <v>2.7002967359050443</v>
      </c>
      <c r="N147" s="6">
        <f>IF(AND(I147&lt;&gt;"",F147&lt;&gt;""),I147/F147,"")</f>
        <v>2.5164113785557984</v>
      </c>
      <c r="O147" s="2" t="s">
        <v>43</v>
      </c>
      <c r="P147" s="2" t="s">
        <v>44</v>
      </c>
      <c r="Q147" s="2"/>
      <c r="R147" s="3" t="s">
        <v>91</v>
      </c>
      <c r="S147" s="3" t="s">
        <v>92</v>
      </c>
      <c r="T147" s="2"/>
      <c r="U147" s="3"/>
      <c r="V147" s="3"/>
      <c r="W147" s="3"/>
      <c r="X147" s="3"/>
      <c r="Y147" s="3" t="str">
        <f>IF(AND(U147&lt;&gt;"",V147&lt;&gt;""),U147*V147,"")</f>
        <v/>
      </c>
      <c r="Z147" s="6"/>
      <c r="AA147" s="6"/>
      <c r="AB147" s="6"/>
      <c r="AC147" s="4"/>
      <c r="AD147" s="4"/>
      <c r="AE147" s="4"/>
      <c r="AF147" s="2"/>
    </row>
    <row r="148" spans="1:32" ht="16" x14ac:dyDescent="0.2">
      <c r="A148" s="3" t="s">
        <v>84</v>
      </c>
      <c r="B148" s="2" t="s">
        <v>259</v>
      </c>
      <c r="C148" s="3">
        <v>2024</v>
      </c>
      <c r="D148" s="3" t="s">
        <v>42</v>
      </c>
      <c r="E148" s="3" t="s">
        <v>35</v>
      </c>
      <c r="F148" s="4">
        <v>116.4</v>
      </c>
      <c r="G148" s="5">
        <v>300</v>
      </c>
      <c r="H148" s="5">
        <v>300</v>
      </c>
      <c r="I148" s="5">
        <f>IF(AND(G148&lt;&gt;"",H148&lt;&gt;""),(G148+H148)/2,"")</f>
        <v>300</v>
      </c>
      <c r="J148" s="4">
        <v>99</v>
      </c>
      <c r="K148" s="4">
        <v>99</v>
      </c>
      <c r="L148" s="4">
        <f>IF(AND(J148&lt;&gt;"",K148&lt;&gt;""),(J148+K148)/2,"")</f>
        <v>99</v>
      </c>
      <c r="M148" s="6">
        <f>IF(L148&lt;&gt;"",L148/33.7,"")</f>
        <v>2.9376854599406528</v>
      </c>
      <c r="N148" s="6">
        <f>IF(AND(I148&lt;&gt;"",F148&lt;&gt;""),I148/F148,"")</f>
        <v>2.5773195876288657</v>
      </c>
      <c r="O148" s="2" t="s">
        <v>43</v>
      </c>
      <c r="P148" s="2" t="s">
        <v>44</v>
      </c>
      <c r="Q148" s="2"/>
      <c r="R148" s="3" t="s">
        <v>91</v>
      </c>
      <c r="S148" s="3" t="s">
        <v>92</v>
      </c>
      <c r="T148" s="2"/>
      <c r="U148" s="3"/>
      <c r="V148" s="3"/>
      <c r="W148" s="3"/>
      <c r="X148" s="3"/>
      <c r="Y148" s="3" t="str">
        <f>IF(AND(U148&lt;&gt;"",V148&lt;&gt;""),U148*V148,"")</f>
        <v/>
      </c>
      <c r="Z148" s="6"/>
      <c r="AA148" s="6"/>
      <c r="AB148" s="6"/>
      <c r="AC148" s="4"/>
      <c r="AD148" s="4"/>
      <c r="AE148" s="4"/>
      <c r="AF148" s="2"/>
    </row>
    <row r="149" spans="1:32" ht="16" x14ac:dyDescent="0.2">
      <c r="A149" s="3" t="s">
        <v>84</v>
      </c>
      <c r="B149" s="2" t="s">
        <v>260</v>
      </c>
      <c r="C149" s="3">
        <v>2024</v>
      </c>
      <c r="D149" s="3" t="s">
        <v>42</v>
      </c>
      <c r="E149" s="3" t="s">
        <v>35</v>
      </c>
      <c r="F149" s="4">
        <v>116.4</v>
      </c>
      <c r="G149" s="5">
        <v>265</v>
      </c>
      <c r="H149" s="5">
        <v>280</v>
      </c>
      <c r="I149" s="5">
        <f>IF(AND(G149&lt;&gt;"",H149&lt;&gt;""),(G149+H149)/2,"")</f>
        <v>272.5</v>
      </c>
      <c r="J149" s="4">
        <v>86</v>
      </c>
      <c r="K149" s="4">
        <v>90</v>
      </c>
      <c r="L149" s="4">
        <f>IF(AND(J149&lt;&gt;"",K149&lt;&gt;""),(J149+K149)/2,"")</f>
        <v>88</v>
      </c>
      <c r="M149" s="6">
        <f>IF(L149&lt;&gt;"",L149/33.7,"")</f>
        <v>2.611275964391691</v>
      </c>
      <c r="N149" s="6">
        <f>IF(AND(I149&lt;&gt;"",F149&lt;&gt;""),I149/F149,"")</f>
        <v>2.3410652920962196</v>
      </c>
      <c r="O149" s="2" t="s">
        <v>43</v>
      </c>
      <c r="P149" s="2" t="s">
        <v>44</v>
      </c>
      <c r="Q149" s="2"/>
      <c r="R149" s="3" t="s">
        <v>91</v>
      </c>
      <c r="S149" s="3" t="s">
        <v>92</v>
      </c>
      <c r="T149" s="2"/>
      <c r="U149" s="3"/>
      <c r="V149" s="3"/>
      <c r="W149" s="3"/>
      <c r="X149" s="3"/>
      <c r="Y149" s="3" t="str">
        <f>IF(AND(U149&lt;&gt;"",V149&lt;&gt;""),U149*V149,"")</f>
        <v/>
      </c>
      <c r="Z149" s="6"/>
      <c r="AA149" s="6"/>
      <c r="AB149" s="6"/>
      <c r="AC149" s="4"/>
      <c r="AD149" s="4"/>
      <c r="AE149" s="4"/>
      <c r="AF149" s="2"/>
    </row>
    <row r="150" spans="1:32" ht="16" x14ac:dyDescent="0.2">
      <c r="A150" s="3" t="s">
        <v>84</v>
      </c>
      <c r="B150" s="2" t="s">
        <v>261</v>
      </c>
      <c r="C150" s="3">
        <v>2024</v>
      </c>
      <c r="D150" s="3" t="s">
        <v>42</v>
      </c>
      <c r="E150" s="3" t="s">
        <v>50</v>
      </c>
      <c r="F150" s="4">
        <v>116.4</v>
      </c>
      <c r="G150" s="5">
        <v>250</v>
      </c>
      <c r="H150" s="5">
        <v>320</v>
      </c>
      <c r="I150" s="5">
        <f>IF(AND(G150&lt;&gt;"",H150&lt;&gt;""),(G150+H150)/2,"")</f>
        <v>285</v>
      </c>
      <c r="J150" s="4">
        <v>102</v>
      </c>
      <c r="K150" s="4">
        <v>106</v>
      </c>
      <c r="L150" s="4">
        <f>IF(AND(J150&lt;&gt;"",K150&lt;&gt;""),(J150+K150)/2,"")</f>
        <v>104</v>
      </c>
      <c r="M150" s="6">
        <f>IF(L150&lt;&gt;"",L150/33.7,"")</f>
        <v>3.0860534124629075</v>
      </c>
      <c r="N150" s="6">
        <f>IF(AND(I150&lt;&gt;"",F150&lt;&gt;""),I150/F150,"")</f>
        <v>2.4484536082474224</v>
      </c>
      <c r="O150" s="2" t="s">
        <v>43</v>
      </c>
      <c r="P150" s="2" t="s">
        <v>44</v>
      </c>
      <c r="Q150" s="2"/>
      <c r="R150" s="3" t="s">
        <v>91</v>
      </c>
      <c r="S150" s="3" t="s">
        <v>92</v>
      </c>
      <c r="T150" s="2"/>
      <c r="U150" s="3"/>
      <c r="V150" s="3"/>
      <c r="W150" s="3"/>
      <c r="X150" s="3"/>
      <c r="Y150" s="3" t="str">
        <f>IF(AND(U150&lt;&gt;"",V150&lt;&gt;""),U150*V150,"")</f>
        <v/>
      </c>
      <c r="Z150" s="6"/>
      <c r="AA150" s="6"/>
      <c r="AB150" s="6"/>
      <c r="AC150" s="4"/>
      <c r="AD150" s="4"/>
      <c r="AE150" s="4"/>
      <c r="AF150" s="2"/>
    </row>
    <row r="151" spans="1:32" ht="16" x14ac:dyDescent="0.2">
      <c r="A151" s="3" t="s">
        <v>97</v>
      </c>
      <c r="B151" s="2" t="s">
        <v>98</v>
      </c>
      <c r="C151" s="3">
        <v>2024</v>
      </c>
      <c r="D151" s="3" t="s">
        <v>34</v>
      </c>
      <c r="E151" s="3" t="s">
        <v>35</v>
      </c>
      <c r="F151" s="4">
        <v>77</v>
      </c>
      <c r="G151" s="5">
        <v>236</v>
      </c>
      <c r="H151" s="5">
        <v>236</v>
      </c>
      <c r="I151" s="5">
        <f>IF(AND(G151&lt;&gt;"",H151&lt;&gt;""),(G151+H151)/2,"")</f>
        <v>236</v>
      </c>
      <c r="J151" s="4">
        <v>91</v>
      </c>
      <c r="K151" s="4">
        <v>91</v>
      </c>
      <c r="L151" s="4">
        <f>IF(AND(J151&lt;&gt;"",K151&lt;&gt;""),(J151+K151)/2,"")</f>
        <v>91</v>
      </c>
      <c r="M151" s="6">
        <f>IF(L151&lt;&gt;"",L151/33.7,"")</f>
        <v>2.7002967359050443</v>
      </c>
      <c r="N151" s="6">
        <f>IF(AND(I151&lt;&gt;"",F151&lt;&gt;""),I151/F151,"")</f>
        <v>3.0649350649350651</v>
      </c>
      <c r="O151" s="2" t="s">
        <v>43</v>
      </c>
      <c r="P151" s="2" t="s">
        <v>44</v>
      </c>
      <c r="Q151" s="2"/>
      <c r="R151" s="3" t="s">
        <v>262</v>
      </c>
      <c r="S151" s="3" t="s">
        <v>263</v>
      </c>
      <c r="T151" s="2"/>
      <c r="U151" s="3"/>
      <c r="V151" s="3"/>
      <c r="W151" s="3"/>
      <c r="X151" s="3"/>
      <c r="Y151" s="3" t="str">
        <f>IF(AND(U151&lt;&gt;"",V151&lt;&gt;""),U151*V151,"")</f>
        <v/>
      </c>
      <c r="Z151" s="6"/>
      <c r="AA151" s="6"/>
      <c r="AB151" s="6"/>
      <c r="AC151" s="4"/>
      <c r="AD151" s="4"/>
      <c r="AE151" s="4"/>
      <c r="AF151" s="2"/>
    </row>
    <row r="152" spans="1:32" ht="16" x14ac:dyDescent="0.2">
      <c r="A152" s="3" t="s">
        <v>97</v>
      </c>
      <c r="B152" s="2" t="s">
        <v>98</v>
      </c>
      <c r="C152" s="3">
        <v>2024</v>
      </c>
      <c r="D152" s="3" t="s">
        <v>34</v>
      </c>
      <c r="E152" s="3" t="s">
        <v>35</v>
      </c>
      <c r="F152" s="4">
        <v>87</v>
      </c>
      <c r="G152" s="5">
        <v>282</v>
      </c>
      <c r="H152" s="5">
        <v>282</v>
      </c>
      <c r="I152" s="5">
        <f>IF(AND(G152&lt;&gt;"",H152&lt;&gt;""),(G152+H152)/2,"")</f>
        <v>282</v>
      </c>
      <c r="J152" s="4">
        <v>97</v>
      </c>
      <c r="K152" s="4">
        <v>97</v>
      </c>
      <c r="L152" s="4">
        <f>IF(AND(J152&lt;&gt;"",K152&lt;&gt;""),(J152+K152)/2,"")</f>
        <v>97</v>
      </c>
      <c r="M152" s="6">
        <f>IF(L152&lt;&gt;"",L152/33.7,"")</f>
        <v>2.8783382789317504</v>
      </c>
      <c r="N152" s="6">
        <f>IF(AND(I152&lt;&gt;"",F152&lt;&gt;""),I152/F152,"")</f>
        <v>3.2413793103448274</v>
      </c>
      <c r="O152" s="2" t="s">
        <v>43</v>
      </c>
      <c r="P152" s="2" t="s">
        <v>44</v>
      </c>
      <c r="Q152" s="2"/>
      <c r="R152" s="3" t="s">
        <v>262</v>
      </c>
      <c r="S152" s="3" t="s">
        <v>264</v>
      </c>
      <c r="T152" s="2"/>
      <c r="U152" s="3"/>
      <c r="V152" s="3"/>
      <c r="W152" s="3"/>
      <c r="X152" s="3"/>
      <c r="Y152" s="3" t="str">
        <f>IF(AND(U152&lt;&gt;"",V152&lt;&gt;""),U152*V152,"")</f>
        <v/>
      </c>
      <c r="Z152" s="6"/>
      <c r="AA152" s="6"/>
      <c r="AB152" s="6"/>
      <c r="AC152" s="4"/>
      <c r="AD152" s="4"/>
      <c r="AE152" s="4"/>
      <c r="AF152" s="2"/>
    </row>
    <row r="153" spans="1:32" ht="112" x14ac:dyDescent="0.2">
      <c r="A153" s="3" t="s">
        <v>97</v>
      </c>
      <c r="B153" s="2" t="s">
        <v>265</v>
      </c>
      <c r="C153" s="3">
        <v>2024</v>
      </c>
      <c r="D153" s="3" t="s">
        <v>42</v>
      </c>
      <c r="E153" s="3" t="s">
        <v>35</v>
      </c>
      <c r="F153" s="4">
        <v>77</v>
      </c>
      <c r="G153" s="5">
        <v>248</v>
      </c>
      <c r="H153" s="5">
        <v>264</v>
      </c>
      <c r="I153" s="5">
        <f>IF(AND(G153&lt;&gt;"",H153&lt;&gt;""),(G153+H153)/2,"")</f>
        <v>256</v>
      </c>
      <c r="J153" s="4">
        <v>95</v>
      </c>
      <c r="K153" s="4">
        <v>100</v>
      </c>
      <c r="L153" s="4">
        <f>IF(AND(J153&lt;&gt;"",K153&lt;&gt;""),(J153+K153)/2,"")</f>
        <v>97.5</v>
      </c>
      <c r="M153" s="6">
        <f>IF(L153&lt;&gt;"",L153/33.7,"")</f>
        <v>2.8931750741839761</v>
      </c>
      <c r="N153" s="6">
        <f>IF(AND(I153&lt;&gt;"",F153&lt;&gt;""),I153/F153,"")</f>
        <v>3.3246753246753249</v>
      </c>
      <c r="O153" s="2" t="s">
        <v>36</v>
      </c>
      <c r="P153" s="2" t="s">
        <v>37</v>
      </c>
      <c r="Q153" s="2" t="s">
        <v>100</v>
      </c>
      <c r="R153" s="3" t="s">
        <v>262</v>
      </c>
      <c r="S153" s="3" t="s">
        <v>263</v>
      </c>
      <c r="T153" s="2"/>
      <c r="U153" s="3"/>
      <c r="V153" s="3"/>
      <c r="W153" s="3"/>
      <c r="X153" s="3"/>
      <c r="Y153" s="3" t="str">
        <f>IF(AND(U153&lt;&gt;"",V153&lt;&gt;""),U153*V153,"")</f>
        <v/>
      </c>
      <c r="Z153" s="6"/>
      <c r="AA153" s="6"/>
      <c r="AB153" s="6"/>
      <c r="AC153" s="4"/>
      <c r="AD153" s="4"/>
      <c r="AE153" s="4"/>
      <c r="AF153" s="2"/>
    </row>
    <row r="154" spans="1:32" ht="112" x14ac:dyDescent="0.2">
      <c r="A154" s="3" t="s">
        <v>97</v>
      </c>
      <c r="B154" s="2" t="s">
        <v>266</v>
      </c>
      <c r="C154" s="3">
        <v>2024</v>
      </c>
      <c r="D154" s="3" t="s">
        <v>42</v>
      </c>
      <c r="E154" s="3" t="s">
        <v>50</v>
      </c>
      <c r="F154" s="4">
        <v>77</v>
      </c>
      <c r="G154" s="5">
        <v>294</v>
      </c>
      <c r="H154" s="5">
        <v>294</v>
      </c>
      <c r="I154" s="5">
        <f>IF(AND(G154&lt;&gt;"",H154&lt;&gt;""),(G154+H154)/2,"")</f>
        <v>294</v>
      </c>
      <c r="J154" s="4">
        <v>112</v>
      </c>
      <c r="K154" s="4">
        <v>112</v>
      </c>
      <c r="L154" s="4">
        <f>IF(AND(J154&lt;&gt;"",K154&lt;&gt;""),(J154+K154)/2,"")</f>
        <v>112</v>
      </c>
      <c r="M154" s="6">
        <f>IF(L154&lt;&gt;"",L154/33.7,"")</f>
        <v>3.3234421364985161</v>
      </c>
      <c r="N154" s="6">
        <f>IF(AND(I154&lt;&gt;"",F154&lt;&gt;""),I154/F154,"")</f>
        <v>3.8181818181818183</v>
      </c>
      <c r="O154" s="2" t="s">
        <v>36</v>
      </c>
      <c r="P154" s="2" t="s">
        <v>37</v>
      </c>
      <c r="Q154" s="2" t="s">
        <v>100</v>
      </c>
      <c r="R154" s="3" t="s">
        <v>262</v>
      </c>
      <c r="S154" s="3" t="s">
        <v>267</v>
      </c>
      <c r="T154" s="2"/>
      <c r="U154" s="3"/>
      <c r="V154" s="3"/>
      <c r="W154" s="3"/>
      <c r="X154" s="3"/>
      <c r="Y154" s="3" t="str">
        <f>IF(AND(U154&lt;&gt;"",V154&lt;&gt;""),U154*V154,"")</f>
        <v/>
      </c>
      <c r="Z154" s="6"/>
      <c r="AA154" s="6"/>
      <c r="AB154" s="6"/>
      <c r="AC154" s="4"/>
      <c r="AD154" s="4"/>
      <c r="AE154" s="4"/>
      <c r="AF154" s="2"/>
    </row>
    <row r="155" spans="1:32" ht="16" x14ac:dyDescent="0.2">
      <c r="A155" s="3" t="s">
        <v>268</v>
      </c>
      <c r="B155" s="2" t="s">
        <v>269</v>
      </c>
      <c r="C155" s="3">
        <v>2024</v>
      </c>
      <c r="D155" s="3" t="s">
        <v>86</v>
      </c>
      <c r="E155" s="3" t="s">
        <v>35</v>
      </c>
      <c r="F155" s="4">
        <v>199.1</v>
      </c>
      <c r="G155" s="5">
        <v>279</v>
      </c>
      <c r="H155" s="5">
        <v>314</v>
      </c>
      <c r="I155" s="5">
        <f>IF(AND(G155&lt;&gt;"",H155&lt;&gt;""),(G155+H155)/2,"")</f>
        <v>296.5</v>
      </c>
      <c r="J155" s="4">
        <v>47</v>
      </c>
      <c r="K155" s="4">
        <v>53</v>
      </c>
      <c r="L155" s="4">
        <f>IF(AND(J155&lt;&gt;"",K155&lt;&gt;""),(J155+K155)/2,"")</f>
        <v>50</v>
      </c>
      <c r="M155" s="6">
        <f>IF(L155&lt;&gt;"",L155/33.7,"")</f>
        <v>1.4836795252225519</v>
      </c>
      <c r="N155" s="6">
        <f>IF(AND(I155&lt;&gt;"",F155&lt;&gt;""),I155/F155,"")</f>
        <v>1.4892014063284782</v>
      </c>
      <c r="O155" s="2" t="s">
        <v>43</v>
      </c>
      <c r="P155" s="2" t="s">
        <v>44</v>
      </c>
      <c r="Q155" s="2"/>
      <c r="R155" s="3" t="s">
        <v>62</v>
      </c>
      <c r="S155" s="3" t="s">
        <v>63</v>
      </c>
      <c r="T155" s="2"/>
      <c r="U155" s="3"/>
      <c r="V155" s="3"/>
      <c r="W155" s="3"/>
      <c r="X155" s="3"/>
      <c r="Y155" s="3" t="str">
        <f>IF(AND(U155&lt;&gt;"",V155&lt;&gt;""),U155*V155,"")</f>
        <v/>
      </c>
      <c r="Z155" s="6"/>
      <c r="AA155" s="6"/>
      <c r="AB155" s="6"/>
      <c r="AC155" s="4"/>
      <c r="AD155" s="4"/>
      <c r="AE155" s="4"/>
      <c r="AF155" s="2"/>
    </row>
    <row r="156" spans="1:32" ht="16" x14ac:dyDescent="0.2">
      <c r="A156" s="3" t="s">
        <v>268</v>
      </c>
      <c r="B156" s="2" t="s">
        <v>270</v>
      </c>
      <c r="C156" s="3">
        <v>2024</v>
      </c>
      <c r="D156" s="3" t="s">
        <v>42</v>
      </c>
      <c r="E156" s="3" t="s">
        <v>35</v>
      </c>
      <c r="F156" s="4">
        <v>199.1</v>
      </c>
      <c r="G156" s="5">
        <v>279</v>
      </c>
      <c r="H156" s="5">
        <v>314</v>
      </c>
      <c r="I156" s="5">
        <f>IF(AND(G156&lt;&gt;"",H156&lt;&gt;""),(G156+H156)/2,"")</f>
        <v>296.5</v>
      </c>
      <c r="J156" s="4">
        <v>47</v>
      </c>
      <c r="K156" s="4">
        <v>53</v>
      </c>
      <c r="L156" s="4">
        <f>IF(AND(J156&lt;&gt;"",K156&lt;&gt;""),(J156+K156)/2,"")</f>
        <v>50</v>
      </c>
      <c r="M156" s="6">
        <f>IF(L156&lt;&gt;"",L156/33.7,"")</f>
        <v>1.4836795252225519</v>
      </c>
      <c r="N156" s="6">
        <f>IF(AND(I156&lt;&gt;"",F156&lt;&gt;""),I156/F156,"")</f>
        <v>1.4892014063284782</v>
      </c>
      <c r="O156" s="2" t="s">
        <v>43</v>
      </c>
      <c r="P156" s="2" t="s">
        <v>44</v>
      </c>
      <c r="Q156" s="2"/>
      <c r="R156" s="3" t="s">
        <v>62</v>
      </c>
      <c r="S156" s="3" t="s">
        <v>63</v>
      </c>
      <c r="T156" s="2"/>
      <c r="U156" s="3"/>
      <c r="V156" s="3"/>
      <c r="W156" s="3"/>
      <c r="X156" s="3"/>
      <c r="Y156" s="3" t="str">
        <f>IF(AND(U156&lt;&gt;"",V156&lt;&gt;""),U156*V156,"")</f>
        <v/>
      </c>
      <c r="Z156" s="6"/>
      <c r="AA156" s="6"/>
      <c r="AB156" s="6"/>
      <c r="AC156" s="4"/>
      <c r="AD156" s="4"/>
      <c r="AE156" s="4"/>
      <c r="AF156" s="2"/>
    </row>
    <row r="157" spans="1:32" ht="16" x14ac:dyDescent="0.2">
      <c r="A157" s="3" t="s">
        <v>271</v>
      </c>
      <c r="B157" s="2" t="s">
        <v>272</v>
      </c>
      <c r="C157" s="3">
        <v>2024</v>
      </c>
      <c r="D157" s="3" t="s">
        <v>42</v>
      </c>
      <c r="E157" s="3" t="s">
        <v>35</v>
      </c>
      <c r="F157" s="4">
        <v>100.1</v>
      </c>
      <c r="G157" s="5">
        <v>273</v>
      </c>
      <c r="H157" s="5">
        <v>281</v>
      </c>
      <c r="I157" s="5">
        <f>IF(AND(G157&lt;&gt;"",H157&lt;&gt;""),(G157+H157)/2,"")</f>
        <v>277</v>
      </c>
      <c r="J157" s="4">
        <v>92</v>
      </c>
      <c r="K157" s="4">
        <v>95</v>
      </c>
      <c r="L157" s="4">
        <f>IF(AND(J157&lt;&gt;"",K157&lt;&gt;""),(J157+K157)/2,"")</f>
        <v>93.5</v>
      </c>
      <c r="M157" s="6">
        <f>IF(L157&lt;&gt;"",L157/33.7,"")</f>
        <v>2.7744807121661719</v>
      </c>
      <c r="N157" s="6">
        <f>IF(AND(I157&lt;&gt;"",F157&lt;&gt;""),I157/F157,"")</f>
        <v>2.7672327672327675</v>
      </c>
      <c r="O157" s="2" t="s">
        <v>43</v>
      </c>
      <c r="P157" s="2" t="s">
        <v>44</v>
      </c>
      <c r="Q157" s="2"/>
      <c r="R157" s="3" t="s">
        <v>62</v>
      </c>
      <c r="S157" s="3" t="s">
        <v>63</v>
      </c>
      <c r="T157" s="2"/>
      <c r="U157" s="3"/>
      <c r="V157" s="3"/>
      <c r="W157" s="3"/>
      <c r="X157" s="3"/>
      <c r="Y157" s="3" t="str">
        <f>IF(AND(U157&lt;&gt;"",V157&lt;&gt;""),U157*V157,"")</f>
        <v/>
      </c>
      <c r="Z157" s="6"/>
      <c r="AA157" s="6"/>
      <c r="AB157" s="6"/>
      <c r="AC157" s="4"/>
      <c r="AD157" s="4"/>
      <c r="AE157" s="4"/>
      <c r="AF157" s="2"/>
    </row>
    <row r="158" spans="1:32" ht="16" x14ac:dyDescent="0.2">
      <c r="A158" s="3" t="s">
        <v>271</v>
      </c>
      <c r="B158" s="2" t="s">
        <v>273</v>
      </c>
      <c r="C158" s="3">
        <v>2024</v>
      </c>
      <c r="D158" s="3" t="s">
        <v>42</v>
      </c>
      <c r="E158" s="3" t="s">
        <v>74</v>
      </c>
      <c r="F158" s="4">
        <v>100.1</v>
      </c>
      <c r="G158" s="5">
        <v>296</v>
      </c>
      <c r="H158" s="5">
        <v>296</v>
      </c>
      <c r="I158" s="5">
        <f>IF(AND(G158&lt;&gt;"",H158&lt;&gt;""),(G158+H158)/2,"")</f>
        <v>296</v>
      </c>
      <c r="J158" s="4">
        <v>99</v>
      </c>
      <c r="K158" s="4">
        <v>99</v>
      </c>
      <c r="L158" s="4">
        <f>IF(AND(J158&lt;&gt;"",K158&lt;&gt;""),(J158+K158)/2,"")</f>
        <v>99</v>
      </c>
      <c r="M158" s="6">
        <f>IF(L158&lt;&gt;"",L158/33.7,"")</f>
        <v>2.9376854599406528</v>
      </c>
      <c r="N158" s="6">
        <f>IF(AND(I158&lt;&gt;"",F158&lt;&gt;""),I158/F158,"")</f>
        <v>2.9570429570429573</v>
      </c>
      <c r="O158" s="2" t="s">
        <v>43</v>
      </c>
      <c r="P158" s="2" t="s">
        <v>44</v>
      </c>
      <c r="Q158" s="2"/>
      <c r="R158" s="3" t="s">
        <v>62</v>
      </c>
      <c r="S158" s="3" t="s">
        <v>63</v>
      </c>
      <c r="T158" s="2"/>
      <c r="U158" s="3"/>
      <c r="V158" s="3"/>
      <c r="W158" s="3"/>
      <c r="X158" s="3"/>
      <c r="Y158" s="3" t="str">
        <f>IF(AND(U158&lt;&gt;"",V158&lt;&gt;""),U158*V158,"")</f>
        <v/>
      </c>
      <c r="Z158" s="6"/>
      <c r="AA158" s="6"/>
      <c r="AB158" s="6"/>
      <c r="AC158" s="4"/>
      <c r="AD158" s="4"/>
      <c r="AE158" s="4"/>
      <c r="AF158" s="2"/>
    </row>
    <row r="159" spans="1:32" ht="112" x14ac:dyDescent="0.2">
      <c r="A159" s="3" t="s">
        <v>102</v>
      </c>
      <c r="B159" s="2" t="s">
        <v>274</v>
      </c>
      <c r="C159" s="3">
        <v>2024</v>
      </c>
      <c r="D159" s="3" t="s">
        <v>42</v>
      </c>
      <c r="E159" s="3" t="s">
        <v>35</v>
      </c>
      <c r="F159" s="4">
        <v>77</v>
      </c>
      <c r="G159" s="5">
        <v>260</v>
      </c>
      <c r="H159" s="5">
        <v>260</v>
      </c>
      <c r="I159" s="5">
        <f>IF(AND(G159&lt;&gt;"",H159&lt;&gt;""),(G159+H159)/2,"")</f>
        <v>260</v>
      </c>
      <c r="J159" s="4">
        <v>99</v>
      </c>
      <c r="K159" s="4">
        <v>99</v>
      </c>
      <c r="L159" s="4">
        <f>IF(AND(J159&lt;&gt;"",K159&lt;&gt;""),(J159+K159)/2,"")</f>
        <v>99</v>
      </c>
      <c r="M159" s="6">
        <f>IF(L159&lt;&gt;"",L159/33.7,"")</f>
        <v>2.9376854599406528</v>
      </c>
      <c r="N159" s="6">
        <f>IF(AND(I159&lt;&gt;"",F159&lt;&gt;""),I159/F159,"")</f>
        <v>3.3766233766233764</v>
      </c>
      <c r="O159" s="2" t="s">
        <v>36</v>
      </c>
      <c r="P159" s="2" t="s">
        <v>37</v>
      </c>
      <c r="Q159" s="2" t="s">
        <v>100</v>
      </c>
      <c r="R159" s="3" t="s">
        <v>275</v>
      </c>
      <c r="S159" s="3" t="s">
        <v>276</v>
      </c>
      <c r="T159" s="2"/>
      <c r="U159" s="3"/>
      <c r="V159" s="3"/>
      <c r="W159" s="3"/>
      <c r="X159" s="3"/>
      <c r="Y159" s="3" t="str">
        <f>IF(AND(U159&lt;&gt;"",V159&lt;&gt;""),U159*V159,"")</f>
        <v/>
      </c>
      <c r="Z159" s="6"/>
      <c r="AA159" s="6"/>
      <c r="AB159" s="6"/>
      <c r="AC159" s="4"/>
      <c r="AD159" s="4"/>
      <c r="AE159" s="4"/>
      <c r="AF159" s="2"/>
    </row>
    <row r="160" spans="1:32" ht="112" x14ac:dyDescent="0.2">
      <c r="A160" s="3" t="s">
        <v>102</v>
      </c>
      <c r="B160" s="2" t="s">
        <v>277</v>
      </c>
      <c r="C160" s="3">
        <v>2024</v>
      </c>
      <c r="D160" s="3" t="s">
        <v>42</v>
      </c>
      <c r="E160" s="3" t="s">
        <v>50</v>
      </c>
      <c r="F160" s="4">
        <v>77</v>
      </c>
      <c r="G160" s="5">
        <v>303</v>
      </c>
      <c r="H160" s="5">
        <v>303</v>
      </c>
      <c r="I160" s="5">
        <f>IF(AND(G160&lt;&gt;"",H160&lt;&gt;""),(G160+H160)/2,"")</f>
        <v>303</v>
      </c>
      <c r="J160" s="4">
        <v>114</v>
      </c>
      <c r="K160" s="4">
        <v>114</v>
      </c>
      <c r="L160" s="4">
        <f>IF(AND(J160&lt;&gt;"",K160&lt;&gt;""),(J160+K160)/2,"")</f>
        <v>114</v>
      </c>
      <c r="M160" s="6">
        <f>IF(L160&lt;&gt;"",L160/33.7,"")</f>
        <v>3.382789317507418</v>
      </c>
      <c r="N160" s="6">
        <f>IF(AND(I160&lt;&gt;"",F160&lt;&gt;""),I160/F160,"")</f>
        <v>3.9350649350649349</v>
      </c>
      <c r="O160" s="2" t="s">
        <v>36</v>
      </c>
      <c r="P160" s="2" t="s">
        <v>37</v>
      </c>
      <c r="Q160" s="2" t="s">
        <v>100</v>
      </c>
      <c r="R160" s="3" t="s">
        <v>275</v>
      </c>
      <c r="S160" s="3" t="s">
        <v>276</v>
      </c>
      <c r="T160" s="2"/>
      <c r="U160" s="3"/>
      <c r="V160" s="3"/>
      <c r="W160" s="3"/>
      <c r="X160" s="3"/>
      <c r="Y160" s="3" t="str">
        <f>IF(AND(U160&lt;&gt;"",V160&lt;&gt;""),U160*V160,"")</f>
        <v/>
      </c>
      <c r="Z160" s="6"/>
      <c r="AA160" s="6"/>
      <c r="AB160" s="6"/>
      <c r="AC160" s="4"/>
      <c r="AD160" s="4"/>
      <c r="AE160" s="4"/>
      <c r="AF160" s="2"/>
    </row>
    <row r="161" spans="1:32" ht="112" x14ac:dyDescent="0.2">
      <c r="A161" s="3" t="s">
        <v>102</v>
      </c>
      <c r="B161" s="2" t="s">
        <v>278</v>
      </c>
      <c r="C161" s="3">
        <v>2024</v>
      </c>
      <c r="D161" s="3" t="s">
        <v>42</v>
      </c>
      <c r="E161" s="3" t="s">
        <v>50</v>
      </c>
      <c r="F161" s="4">
        <v>58</v>
      </c>
      <c r="G161" s="5">
        <v>220</v>
      </c>
      <c r="H161" s="5">
        <v>220</v>
      </c>
      <c r="I161" s="5">
        <f>IF(AND(G161&lt;&gt;"",H161&lt;&gt;""),(G161+H161)/2,"")</f>
        <v>220</v>
      </c>
      <c r="J161" s="4">
        <v>110</v>
      </c>
      <c r="K161" s="4">
        <v>110</v>
      </c>
      <c r="L161" s="4">
        <f>IF(AND(J161&lt;&gt;"",K161&lt;&gt;""),(J161+K161)/2,"")</f>
        <v>110</v>
      </c>
      <c r="M161" s="6">
        <f>IF(L161&lt;&gt;"",L161/33.7,"")</f>
        <v>3.2640949554896141</v>
      </c>
      <c r="N161" s="6">
        <f>IF(AND(I161&lt;&gt;"",F161&lt;&gt;""),I161/F161,"")</f>
        <v>3.7931034482758621</v>
      </c>
      <c r="O161" s="2" t="s">
        <v>36</v>
      </c>
      <c r="P161" s="2" t="s">
        <v>37</v>
      </c>
      <c r="Q161" s="2" t="s">
        <v>100</v>
      </c>
      <c r="R161" s="3" t="s">
        <v>275</v>
      </c>
      <c r="S161" s="3" t="s">
        <v>276</v>
      </c>
      <c r="T161" s="2"/>
      <c r="U161" s="3"/>
      <c r="V161" s="3"/>
      <c r="W161" s="3"/>
      <c r="X161" s="3"/>
      <c r="Y161" s="3" t="str">
        <f>IF(AND(U161&lt;&gt;"",V161&lt;&gt;""),U161*V161,"")</f>
        <v/>
      </c>
      <c r="Z161" s="6"/>
      <c r="AA161" s="6"/>
      <c r="AB161" s="6"/>
      <c r="AC161" s="4"/>
      <c r="AD161" s="4"/>
      <c r="AE161" s="4"/>
      <c r="AF161" s="2"/>
    </row>
    <row r="162" spans="1:32" ht="112" x14ac:dyDescent="0.2">
      <c r="A162" s="3" t="s">
        <v>102</v>
      </c>
      <c r="B162" s="2" t="s">
        <v>103</v>
      </c>
      <c r="C162" s="3">
        <v>2024</v>
      </c>
      <c r="D162" s="3" t="s">
        <v>34</v>
      </c>
      <c r="E162" s="3" t="s">
        <v>35</v>
      </c>
      <c r="F162" s="4">
        <v>77</v>
      </c>
      <c r="G162" s="5">
        <v>270</v>
      </c>
      <c r="H162" s="5">
        <v>316</v>
      </c>
      <c r="I162" s="5">
        <f>IF(AND(G162&lt;&gt;"",H162&lt;&gt;""),(G162+H162)/2,"")</f>
        <v>293</v>
      </c>
      <c r="J162" s="4">
        <v>103</v>
      </c>
      <c r="K162" s="4">
        <v>121</v>
      </c>
      <c r="L162" s="4">
        <f>IF(AND(J162&lt;&gt;"",K162&lt;&gt;""),(J162+K162)/2,"")</f>
        <v>112</v>
      </c>
      <c r="M162" s="6">
        <f>IF(L162&lt;&gt;"",L162/33.7,"")</f>
        <v>3.3234421364985161</v>
      </c>
      <c r="N162" s="6">
        <f>IF(AND(I162&lt;&gt;"",F162&lt;&gt;""),I162/F162,"")</f>
        <v>3.8051948051948052</v>
      </c>
      <c r="O162" s="2" t="s">
        <v>36</v>
      </c>
      <c r="P162" s="2" t="s">
        <v>37</v>
      </c>
      <c r="Q162" s="2" t="s">
        <v>100</v>
      </c>
      <c r="R162" s="3" t="s">
        <v>62</v>
      </c>
      <c r="S162" s="3" t="s">
        <v>63</v>
      </c>
      <c r="T162" s="2"/>
      <c r="U162" s="3"/>
      <c r="V162" s="3"/>
      <c r="W162" s="3"/>
      <c r="X162" s="3"/>
      <c r="Y162" s="3" t="str">
        <f>IF(AND(U162&lt;&gt;"",V162&lt;&gt;""),U162*V162,"")</f>
        <v/>
      </c>
      <c r="Z162" s="6"/>
      <c r="AA162" s="6"/>
      <c r="AB162" s="6"/>
      <c r="AC162" s="4"/>
      <c r="AD162" s="4"/>
      <c r="AE162" s="4"/>
      <c r="AF162" s="2"/>
    </row>
    <row r="163" spans="1:32" ht="112" x14ac:dyDescent="0.2">
      <c r="A163" s="3" t="s">
        <v>102</v>
      </c>
      <c r="B163" s="2" t="s">
        <v>104</v>
      </c>
      <c r="C163" s="3">
        <v>2024</v>
      </c>
      <c r="D163" s="3" t="s">
        <v>34</v>
      </c>
      <c r="E163" s="3" t="s">
        <v>50</v>
      </c>
      <c r="F163" s="4">
        <v>77</v>
      </c>
      <c r="G163" s="5">
        <v>305</v>
      </c>
      <c r="H163" s="5">
        <v>361</v>
      </c>
      <c r="I163" s="5">
        <f>IF(AND(G163&lt;&gt;"",H163&lt;&gt;""),(G163+H163)/2,"")</f>
        <v>333</v>
      </c>
      <c r="J163" s="4">
        <v>117</v>
      </c>
      <c r="K163" s="4">
        <v>140</v>
      </c>
      <c r="L163" s="4">
        <f>IF(AND(J163&lt;&gt;"",K163&lt;&gt;""),(J163+K163)/2,"")</f>
        <v>128.5</v>
      </c>
      <c r="M163" s="6">
        <f>IF(L163&lt;&gt;"",L163/33.7,"")</f>
        <v>3.8130563798219583</v>
      </c>
      <c r="N163" s="6">
        <f>IF(AND(I163&lt;&gt;"",F163&lt;&gt;""),I163/F163,"")</f>
        <v>4.3246753246753249</v>
      </c>
      <c r="O163" s="2" t="s">
        <v>36</v>
      </c>
      <c r="P163" s="2" t="s">
        <v>37</v>
      </c>
      <c r="Q163" s="2" t="s">
        <v>100</v>
      </c>
      <c r="R163" s="3" t="s">
        <v>62</v>
      </c>
      <c r="S163" s="3" t="s">
        <v>63</v>
      </c>
      <c r="T163" s="2"/>
      <c r="U163" s="3"/>
      <c r="V163" s="3"/>
      <c r="W163" s="3"/>
      <c r="X163" s="3"/>
      <c r="Y163" s="3" t="str">
        <f>IF(AND(U163&lt;&gt;"",V163&lt;&gt;""),U163*V163,"")</f>
        <v/>
      </c>
      <c r="Z163" s="6"/>
      <c r="AA163" s="6"/>
      <c r="AB163" s="6"/>
      <c r="AC163" s="4"/>
      <c r="AD163" s="4"/>
      <c r="AE163" s="4"/>
      <c r="AF163" s="2"/>
    </row>
    <row r="164" spans="1:32" ht="112" x14ac:dyDescent="0.2">
      <c r="A164" s="3" t="s">
        <v>102</v>
      </c>
      <c r="B164" s="2" t="s">
        <v>105</v>
      </c>
      <c r="C164" s="3">
        <v>2024</v>
      </c>
      <c r="D164" s="3" t="s">
        <v>34</v>
      </c>
      <c r="E164" s="3" t="s">
        <v>50</v>
      </c>
      <c r="F164" s="4">
        <v>53</v>
      </c>
      <c r="G164" s="5">
        <v>240</v>
      </c>
      <c r="H164" s="5">
        <v>240</v>
      </c>
      <c r="I164" s="5">
        <f>IF(AND(G164&lt;&gt;"",H164&lt;&gt;""),(G164+H164)/2,"")</f>
        <v>240</v>
      </c>
      <c r="J164" s="4">
        <v>135</v>
      </c>
      <c r="K164" s="4">
        <v>135</v>
      </c>
      <c r="L164" s="4">
        <f>IF(AND(J164&lt;&gt;"",K164&lt;&gt;""),(J164+K164)/2,"")</f>
        <v>135</v>
      </c>
      <c r="M164" s="6">
        <f>IF(L164&lt;&gt;"",L164/33.7,"")</f>
        <v>4.0059347181008897</v>
      </c>
      <c r="N164" s="6">
        <f>IF(AND(I164&lt;&gt;"",F164&lt;&gt;""),I164/F164,"")</f>
        <v>4.5283018867924527</v>
      </c>
      <c r="O164" s="2" t="s">
        <v>36</v>
      </c>
      <c r="P164" s="2" t="s">
        <v>37</v>
      </c>
      <c r="Q164" s="2" t="s">
        <v>100</v>
      </c>
      <c r="R164" s="3" t="s">
        <v>62</v>
      </c>
      <c r="S164" s="3" t="s">
        <v>63</v>
      </c>
      <c r="T164" s="2"/>
      <c r="U164" s="3"/>
      <c r="V164" s="3"/>
      <c r="W164" s="3"/>
      <c r="X164" s="3"/>
      <c r="Y164" s="3" t="str">
        <f>IF(AND(U164&lt;&gt;"",V164&lt;&gt;""),U164*V164,"")</f>
        <v/>
      </c>
      <c r="Z164" s="6"/>
      <c r="AA164" s="6"/>
      <c r="AB164" s="6"/>
      <c r="AC164" s="4"/>
      <c r="AD164" s="4"/>
      <c r="AE164" s="4"/>
      <c r="AF164" s="2"/>
    </row>
    <row r="165" spans="1:32" ht="16" x14ac:dyDescent="0.2">
      <c r="A165" s="3" t="s">
        <v>102</v>
      </c>
      <c r="B165" s="2" t="s">
        <v>106</v>
      </c>
      <c r="C165" s="3">
        <v>2024</v>
      </c>
      <c r="D165" s="3" t="s">
        <v>42</v>
      </c>
      <c r="E165" s="3" t="s">
        <v>74</v>
      </c>
      <c r="F165" s="4">
        <v>48</v>
      </c>
      <c r="G165" s="5">
        <v>200</v>
      </c>
      <c r="H165" s="5">
        <v>261</v>
      </c>
      <c r="I165" s="5">
        <f>IF(AND(G165&lt;&gt;"",H165&lt;&gt;""),(G165+H165)/2,"")</f>
        <v>230.5</v>
      </c>
      <c r="J165" s="4">
        <v>116</v>
      </c>
      <c r="K165" s="4">
        <v>118</v>
      </c>
      <c r="L165" s="4">
        <f>IF(AND(J165&lt;&gt;"",K165&lt;&gt;""),(J165+K165)/2,"")</f>
        <v>117</v>
      </c>
      <c r="M165" s="6">
        <f>IF(L165&lt;&gt;"",L165/33.7,"")</f>
        <v>3.4718100890207713</v>
      </c>
      <c r="N165" s="6">
        <f>IF(AND(I165&lt;&gt;"",F165&lt;&gt;""),I165/F165,"")</f>
        <v>4.802083333333333</v>
      </c>
      <c r="O165" s="2" t="s">
        <v>43</v>
      </c>
      <c r="P165" s="2" t="s">
        <v>44</v>
      </c>
      <c r="Q165" s="2"/>
      <c r="R165" s="3" t="s">
        <v>279</v>
      </c>
      <c r="S165" s="3" t="s">
        <v>280</v>
      </c>
      <c r="T165" s="2"/>
      <c r="U165" s="3"/>
      <c r="V165" s="3"/>
      <c r="W165" s="3"/>
      <c r="X165" s="3"/>
      <c r="Y165" s="3" t="str">
        <f>IF(AND(U165&lt;&gt;"",V165&lt;&gt;""),U165*V165,"")</f>
        <v/>
      </c>
      <c r="Z165" s="6"/>
      <c r="AA165" s="6"/>
      <c r="AB165" s="6"/>
      <c r="AC165" s="4"/>
      <c r="AD165" s="4"/>
      <c r="AE165" s="4"/>
      <c r="AF165" s="2"/>
    </row>
    <row r="166" spans="1:32" ht="16" x14ac:dyDescent="0.2">
      <c r="A166" s="3" t="s">
        <v>109</v>
      </c>
      <c r="B166" s="2" t="s">
        <v>110</v>
      </c>
      <c r="C166" s="3">
        <v>2024</v>
      </c>
      <c r="D166" s="3" t="s">
        <v>42</v>
      </c>
      <c r="E166" s="3" t="s">
        <v>111</v>
      </c>
      <c r="F166" s="4">
        <v>86</v>
      </c>
      <c r="G166" s="5">
        <v>217</v>
      </c>
      <c r="H166" s="5">
        <v>246</v>
      </c>
      <c r="I166" s="5">
        <f>IF(AND(G166&lt;&gt;"",H166&lt;&gt;""),(G166+H166)/2,"")</f>
        <v>231.5</v>
      </c>
      <c r="J166" s="4">
        <v>76</v>
      </c>
      <c r="K166" s="4">
        <v>85</v>
      </c>
      <c r="L166" s="4">
        <f>IF(AND(J166&lt;&gt;"",K166&lt;&gt;""),(J166+K166)/2,"")</f>
        <v>80.5</v>
      </c>
      <c r="M166" s="6">
        <f>IF(L166&lt;&gt;"",L166/33.7,"")</f>
        <v>2.3887240356083086</v>
      </c>
      <c r="N166" s="6">
        <f>IF(AND(I166&lt;&gt;"",F166&lt;&gt;""),I166/F166,"")</f>
        <v>2.691860465116279</v>
      </c>
      <c r="O166" s="2" t="s">
        <v>43</v>
      </c>
      <c r="P166" s="2" t="s">
        <v>44</v>
      </c>
      <c r="Q166" s="2"/>
      <c r="R166" s="3" t="s">
        <v>112</v>
      </c>
      <c r="S166" s="3" t="s">
        <v>113</v>
      </c>
      <c r="T166" s="2"/>
      <c r="U166" s="3"/>
      <c r="V166" s="3"/>
      <c r="W166" s="3"/>
      <c r="X166" s="3"/>
      <c r="Y166" s="3" t="str">
        <f>IF(AND(U166&lt;&gt;"",V166&lt;&gt;""),U166*V166,"")</f>
        <v/>
      </c>
      <c r="Z166" s="6"/>
      <c r="AA166" s="6"/>
      <c r="AB166" s="6"/>
      <c r="AC166" s="4"/>
      <c r="AD166" s="4"/>
      <c r="AE166" s="4"/>
      <c r="AF166" s="2"/>
    </row>
    <row r="167" spans="1:32" ht="16" x14ac:dyDescent="0.2">
      <c r="A167" s="3" t="s">
        <v>281</v>
      </c>
      <c r="B167" s="2" t="s">
        <v>282</v>
      </c>
      <c r="C167" s="3">
        <v>2024</v>
      </c>
      <c r="D167" s="3" t="s">
        <v>42</v>
      </c>
      <c r="E167" s="3" t="s">
        <v>35</v>
      </c>
      <c r="F167" s="4">
        <v>115.8</v>
      </c>
      <c r="G167" s="5">
        <v>270</v>
      </c>
      <c r="H167" s="5">
        <v>303</v>
      </c>
      <c r="I167" s="5">
        <f>IF(AND(G167&lt;&gt;"",H167&lt;&gt;""),(G167+H167)/2,"")</f>
        <v>286.5</v>
      </c>
      <c r="J167" s="4">
        <v>87</v>
      </c>
      <c r="K167" s="4">
        <v>97</v>
      </c>
      <c r="L167" s="4">
        <f>IF(AND(J167&lt;&gt;"",K167&lt;&gt;""),(J167+K167)/2,"")</f>
        <v>92</v>
      </c>
      <c r="M167" s="6">
        <f>IF(L167&lt;&gt;"",L167/33.7,"")</f>
        <v>2.7299703264094952</v>
      </c>
      <c r="N167" s="6">
        <f>IF(AND(I167&lt;&gt;"",F167&lt;&gt;""),I167/F167,"")</f>
        <v>2.4740932642487046</v>
      </c>
      <c r="O167" s="2" t="s">
        <v>43</v>
      </c>
      <c r="P167" s="2" t="s">
        <v>44</v>
      </c>
      <c r="Q167" s="2"/>
      <c r="R167" s="3" t="s">
        <v>62</v>
      </c>
      <c r="S167" s="3" t="s">
        <v>63</v>
      </c>
      <c r="T167" s="2"/>
      <c r="U167" s="3"/>
      <c r="V167" s="3"/>
      <c r="W167" s="3"/>
      <c r="X167" s="3"/>
      <c r="Y167" s="3" t="str">
        <f>IF(AND(U167&lt;&gt;"",V167&lt;&gt;""),U167*V167,"")</f>
        <v/>
      </c>
      <c r="Z167" s="6"/>
      <c r="AA167" s="6"/>
      <c r="AB167" s="6"/>
      <c r="AC167" s="4"/>
      <c r="AD167" s="4"/>
      <c r="AE167" s="4"/>
      <c r="AF167" s="2"/>
    </row>
    <row r="168" spans="1:32" ht="112" x14ac:dyDescent="0.2">
      <c r="A168" s="3" t="s">
        <v>114</v>
      </c>
      <c r="B168" s="2" t="s">
        <v>115</v>
      </c>
      <c r="C168" s="3">
        <v>2024</v>
      </c>
      <c r="D168" s="3" t="s">
        <v>42</v>
      </c>
      <c r="E168" s="3" t="s">
        <v>35</v>
      </c>
      <c r="F168" s="4">
        <v>77</v>
      </c>
      <c r="G168" s="5">
        <v>218</v>
      </c>
      <c r="H168" s="5">
        <v>218</v>
      </c>
      <c r="I168" s="5">
        <f>IF(AND(G168&lt;&gt;"",H168&lt;&gt;""),(G168+H168)/2,"")</f>
        <v>218</v>
      </c>
      <c r="J168" s="4">
        <v>83</v>
      </c>
      <c r="K168" s="4">
        <v>83</v>
      </c>
      <c r="L168" s="4">
        <f>IF(AND(J168&lt;&gt;"",K168&lt;&gt;""),(J168+K168)/2,"")</f>
        <v>83</v>
      </c>
      <c r="M168" s="6">
        <f>IF(L168&lt;&gt;"",L168/33.7,"")</f>
        <v>2.4629080118694362</v>
      </c>
      <c r="N168" s="6">
        <f>IF(AND(I168&lt;&gt;"",F168&lt;&gt;""),I168/F168,"")</f>
        <v>2.831168831168831</v>
      </c>
      <c r="O168" s="2" t="s">
        <v>36</v>
      </c>
      <c r="P168" s="2" t="s">
        <v>37</v>
      </c>
      <c r="Q168" s="2" t="s">
        <v>100</v>
      </c>
      <c r="R168" s="3" t="s">
        <v>116</v>
      </c>
      <c r="S168" s="3" t="s">
        <v>117</v>
      </c>
      <c r="T168" s="2" t="s">
        <v>118</v>
      </c>
      <c r="U168" s="3">
        <v>192</v>
      </c>
      <c r="V168" s="3">
        <v>2</v>
      </c>
      <c r="W168" s="3"/>
      <c r="X168" s="3"/>
      <c r="Y168" s="3">
        <f>IF(AND(U168&lt;&gt;"",V168&lt;&gt;""),U168*V168,"")</f>
        <v>384</v>
      </c>
      <c r="Z168" s="6">
        <v>3.63</v>
      </c>
      <c r="AA168" s="6">
        <v>4.197916666666667</v>
      </c>
      <c r="AB168" s="6">
        <v>2.5</v>
      </c>
      <c r="AC168" s="4">
        <f>U168*Z168</f>
        <v>696.96</v>
      </c>
      <c r="AD168" s="4">
        <f>U168*AA168</f>
        <v>806</v>
      </c>
      <c r="AE168" s="4">
        <f>U168*AB168</f>
        <v>480</v>
      </c>
      <c r="AF168" s="2" t="s">
        <v>119</v>
      </c>
    </row>
    <row r="169" spans="1:32" ht="112" x14ac:dyDescent="0.2">
      <c r="A169" s="3" t="s">
        <v>114</v>
      </c>
      <c r="B169" s="2" t="s">
        <v>120</v>
      </c>
      <c r="C169" s="3">
        <v>2024</v>
      </c>
      <c r="D169" s="3" t="s">
        <v>42</v>
      </c>
      <c r="E169" s="3" t="s">
        <v>35</v>
      </c>
      <c r="F169" s="4">
        <v>77</v>
      </c>
      <c r="G169" s="5">
        <v>252</v>
      </c>
      <c r="H169" s="5">
        <v>282</v>
      </c>
      <c r="I169" s="5">
        <f>IF(AND(G169&lt;&gt;"",H169&lt;&gt;""),(G169+H169)/2,"")</f>
        <v>267</v>
      </c>
      <c r="J169" s="4">
        <v>96</v>
      </c>
      <c r="K169" s="4">
        <v>109</v>
      </c>
      <c r="L169" s="4">
        <f>IF(AND(J169&lt;&gt;"",K169&lt;&gt;""),(J169+K169)/2,"")</f>
        <v>102.5</v>
      </c>
      <c r="M169" s="6">
        <f>IF(L169&lt;&gt;"",L169/33.7,"")</f>
        <v>3.0415430267062313</v>
      </c>
      <c r="N169" s="6">
        <f>IF(AND(I169&lt;&gt;"",F169&lt;&gt;""),I169/F169,"")</f>
        <v>3.4675324675324677</v>
      </c>
      <c r="O169" s="2" t="s">
        <v>36</v>
      </c>
      <c r="P169" s="2" t="s">
        <v>37</v>
      </c>
      <c r="Q169" s="2" t="s">
        <v>100</v>
      </c>
      <c r="R169" s="3" t="s">
        <v>116</v>
      </c>
      <c r="S169" s="3" t="s">
        <v>117</v>
      </c>
      <c r="T169" s="2" t="s">
        <v>118</v>
      </c>
      <c r="U169" s="3">
        <v>192</v>
      </c>
      <c r="V169" s="3">
        <v>2</v>
      </c>
      <c r="W169" s="3"/>
      <c r="X169" s="3"/>
      <c r="Y169" s="3">
        <f>IF(AND(U169&lt;&gt;"",V169&lt;&gt;""),U169*V169,"")</f>
        <v>384</v>
      </c>
      <c r="Z169" s="6">
        <v>3.63</v>
      </c>
      <c r="AA169" s="6">
        <v>4.197916666666667</v>
      </c>
      <c r="AB169" s="6">
        <v>2.5</v>
      </c>
      <c r="AC169" s="4">
        <f>U169*Z169</f>
        <v>696.96</v>
      </c>
      <c r="AD169" s="4">
        <f>U169*AA169</f>
        <v>806</v>
      </c>
      <c r="AE169" s="4">
        <f>U169*AB169</f>
        <v>480</v>
      </c>
      <c r="AF169" s="2" t="s">
        <v>119</v>
      </c>
    </row>
    <row r="170" spans="1:32" ht="112" x14ac:dyDescent="0.2">
      <c r="A170" s="3" t="s">
        <v>114</v>
      </c>
      <c r="B170" s="2" t="s">
        <v>283</v>
      </c>
      <c r="C170" s="3">
        <v>2024</v>
      </c>
      <c r="D170" s="3" t="s">
        <v>42</v>
      </c>
      <c r="E170" s="3" t="s">
        <v>50</v>
      </c>
      <c r="F170" s="4">
        <v>77</v>
      </c>
      <c r="G170" s="5">
        <v>310</v>
      </c>
      <c r="H170" s="5">
        <v>310</v>
      </c>
      <c r="I170" s="5">
        <f>IF(AND(G170&lt;&gt;"",H170&lt;&gt;""),(G170+H170)/2,"")</f>
        <v>310</v>
      </c>
      <c r="J170" s="4">
        <v>117</v>
      </c>
      <c r="K170" s="4">
        <v>117</v>
      </c>
      <c r="L170" s="4">
        <f>IF(AND(J170&lt;&gt;"",K170&lt;&gt;""),(J170+K170)/2,"")</f>
        <v>117</v>
      </c>
      <c r="M170" s="6">
        <f>IF(L170&lt;&gt;"",L170/33.7,"")</f>
        <v>3.4718100890207713</v>
      </c>
      <c r="N170" s="6">
        <f>IF(AND(I170&lt;&gt;"",F170&lt;&gt;""),I170/F170,"")</f>
        <v>4.0259740259740262</v>
      </c>
      <c r="O170" s="2" t="s">
        <v>36</v>
      </c>
      <c r="P170" s="2" t="s">
        <v>37</v>
      </c>
      <c r="Q170" s="2" t="s">
        <v>100</v>
      </c>
      <c r="R170" s="3" t="s">
        <v>116</v>
      </c>
      <c r="S170" s="3" t="s">
        <v>117</v>
      </c>
      <c r="T170" s="2" t="s">
        <v>118</v>
      </c>
      <c r="U170" s="3">
        <v>192</v>
      </c>
      <c r="V170" s="3">
        <v>2</v>
      </c>
      <c r="W170" s="3"/>
      <c r="X170" s="3"/>
      <c r="Y170" s="3">
        <f>IF(AND(U170&lt;&gt;"",V170&lt;&gt;""),U170*V170,"")</f>
        <v>384</v>
      </c>
      <c r="Z170" s="6">
        <v>3.63</v>
      </c>
      <c r="AA170" s="6">
        <v>4.197916666666667</v>
      </c>
      <c r="AB170" s="6">
        <v>2.5</v>
      </c>
      <c r="AC170" s="4">
        <f>U170*Z170</f>
        <v>696.96</v>
      </c>
      <c r="AD170" s="4">
        <f>U170*AA170</f>
        <v>806</v>
      </c>
      <c r="AE170" s="4">
        <f>U170*AB170</f>
        <v>480</v>
      </c>
      <c r="AF170" s="2" t="s">
        <v>119</v>
      </c>
    </row>
    <row r="171" spans="1:32" ht="112" x14ac:dyDescent="0.2">
      <c r="A171" s="3" t="s">
        <v>114</v>
      </c>
      <c r="B171" s="2" t="s">
        <v>284</v>
      </c>
      <c r="C171" s="3">
        <v>2024</v>
      </c>
      <c r="D171" s="3" t="s">
        <v>42</v>
      </c>
      <c r="E171" s="3" t="s">
        <v>50</v>
      </c>
      <c r="F171" s="4">
        <v>77</v>
      </c>
      <c r="G171" s="5">
        <v>232</v>
      </c>
      <c r="H171" s="5">
        <v>232</v>
      </c>
      <c r="I171" s="5">
        <f>IF(AND(G171&lt;&gt;"",H171&lt;&gt;""),(G171+H171)/2,"")</f>
        <v>232</v>
      </c>
      <c r="J171" s="4">
        <v>117</v>
      </c>
      <c r="K171" s="4">
        <v>117</v>
      </c>
      <c r="L171" s="4">
        <f>IF(AND(J171&lt;&gt;"",K171&lt;&gt;""),(J171+K171)/2,"")</f>
        <v>117</v>
      </c>
      <c r="M171" s="6">
        <f>IF(L171&lt;&gt;"",L171/33.7,"")</f>
        <v>3.4718100890207713</v>
      </c>
      <c r="N171" s="6">
        <f>IF(AND(I171&lt;&gt;"",F171&lt;&gt;""),I171/F171,"")</f>
        <v>3.0129870129870131</v>
      </c>
      <c r="O171" s="2" t="s">
        <v>36</v>
      </c>
      <c r="P171" s="2" t="s">
        <v>37</v>
      </c>
      <c r="Q171" s="2" t="s">
        <v>100</v>
      </c>
      <c r="R171" s="3" t="s">
        <v>116</v>
      </c>
      <c r="S171" s="3" t="s">
        <v>117</v>
      </c>
      <c r="T171" s="2" t="s">
        <v>118</v>
      </c>
      <c r="U171" s="3">
        <v>192</v>
      </c>
      <c r="V171" s="3">
        <v>2</v>
      </c>
      <c r="W171" s="3"/>
      <c r="X171" s="3"/>
      <c r="Y171" s="3">
        <f>IF(AND(U171&lt;&gt;"",V171&lt;&gt;""),U171*V171,"")</f>
        <v>384</v>
      </c>
      <c r="Z171" s="6">
        <v>3.63</v>
      </c>
      <c r="AA171" s="6">
        <v>4.197916666666667</v>
      </c>
      <c r="AB171" s="6">
        <v>2.5</v>
      </c>
      <c r="AC171" s="4">
        <f>U171*Z171</f>
        <v>696.96</v>
      </c>
      <c r="AD171" s="4">
        <f>U171*AA171</f>
        <v>806</v>
      </c>
      <c r="AE171" s="4">
        <f>U171*AB171</f>
        <v>480</v>
      </c>
      <c r="AF171" s="2" t="s">
        <v>119</v>
      </c>
    </row>
    <row r="172" spans="1:32" ht="112" x14ac:dyDescent="0.2">
      <c r="A172" s="3" t="s">
        <v>114</v>
      </c>
      <c r="B172" s="2" t="s">
        <v>285</v>
      </c>
      <c r="C172" s="3">
        <v>2024</v>
      </c>
      <c r="D172" s="3" t="s">
        <v>42</v>
      </c>
      <c r="E172" s="3" t="s">
        <v>35</v>
      </c>
      <c r="F172" s="4">
        <v>99</v>
      </c>
      <c r="G172" s="5">
        <v>270</v>
      </c>
      <c r="H172" s="5">
        <v>280</v>
      </c>
      <c r="I172" s="5">
        <f>IF(AND(G172&lt;&gt;"",H172&lt;&gt;""),(G172+H172)/2,"")</f>
        <v>275</v>
      </c>
      <c r="J172" s="4">
        <v>80</v>
      </c>
      <c r="K172" s="4">
        <v>83</v>
      </c>
      <c r="L172" s="4">
        <f>IF(AND(J172&lt;&gt;"",K172&lt;&gt;""),(J172+K172)/2,"")</f>
        <v>81.5</v>
      </c>
      <c r="M172" s="6">
        <f>IF(L172&lt;&gt;"",L172/33.7,"")</f>
        <v>2.4183976261127595</v>
      </c>
      <c r="N172" s="6">
        <f>IF(AND(I172&lt;&gt;"",F172&lt;&gt;""),I172/F172,"")</f>
        <v>2.7777777777777777</v>
      </c>
      <c r="O172" s="2" t="s">
        <v>36</v>
      </c>
      <c r="P172" s="2" t="s">
        <v>37</v>
      </c>
      <c r="Q172" s="2" t="s">
        <v>100</v>
      </c>
      <c r="R172" s="3" t="s">
        <v>62</v>
      </c>
      <c r="S172" s="3" t="s">
        <v>63</v>
      </c>
      <c r="T172" s="2"/>
      <c r="U172" s="3"/>
      <c r="V172" s="3"/>
      <c r="W172" s="3"/>
      <c r="X172" s="3"/>
      <c r="Y172" s="3" t="str">
        <f>IF(AND(U172&lt;&gt;"",V172&lt;&gt;""),U172*V172,"")</f>
        <v/>
      </c>
      <c r="Z172" s="6"/>
      <c r="AA172" s="6"/>
      <c r="AB172" s="6"/>
      <c r="AC172" s="4"/>
      <c r="AD172" s="4"/>
      <c r="AE172" s="4"/>
      <c r="AF172" s="2"/>
    </row>
    <row r="173" spans="1:32" ht="112" x14ac:dyDescent="0.2">
      <c r="A173" s="3" t="s">
        <v>114</v>
      </c>
      <c r="B173" s="2" t="s">
        <v>286</v>
      </c>
      <c r="C173" s="3">
        <v>2024</v>
      </c>
      <c r="D173" s="3" t="s">
        <v>42</v>
      </c>
      <c r="E173" s="3" t="s">
        <v>50</v>
      </c>
      <c r="F173" s="4">
        <v>99</v>
      </c>
      <c r="G173" s="5">
        <v>304</v>
      </c>
      <c r="H173" s="5">
        <v>304</v>
      </c>
      <c r="I173" s="5">
        <f>IF(AND(G173&lt;&gt;"",H173&lt;&gt;""),(G173+H173)/2,"")</f>
        <v>304</v>
      </c>
      <c r="J173" s="4">
        <v>89</v>
      </c>
      <c r="K173" s="4">
        <v>89</v>
      </c>
      <c r="L173" s="4">
        <f>IF(AND(J173&lt;&gt;"",K173&lt;&gt;""),(J173+K173)/2,"")</f>
        <v>89</v>
      </c>
      <c r="M173" s="6">
        <f>IF(L173&lt;&gt;"",L173/33.7,"")</f>
        <v>2.6409495548961424</v>
      </c>
      <c r="N173" s="6">
        <f>IF(AND(I173&lt;&gt;"",F173&lt;&gt;""),I173/F173,"")</f>
        <v>3.0707070707070705</v>
      </c>
      <c r="O173" s="2" t="s">
        <v>36</v>
      </c>
      <c r="P173" s="2" t="s">
        <v>37</v>
      </c>
      <c r="Q173" s="2" t="s">
        <v>100</v>
      </c>
      <c r="R173" s="3" t="s">
        <v>62</v>
      </c>
      <c r="S173" s="3" t="s">
        <v>63</v>
      </c>
      <c r="T173" s="2"/>
      <c r="U173" s="3"/>
      <c r="V173" s="3"/>
      <c r="W173" s="3"/>
      <c r="X173" s="3"/>
      <c r="Y173" s="3" t="str">
        <f>IF(AND(U173&lt;&gt;"",V173&lt;&gt;""),U173*V173,"")</f>
        <v/>
      </c>
      <c r="Z173" s="6"/>
      <c r="AA173" s="6"/>
      <c r="AB173" s="6"/>
      <c r="AC173" s="4"/>
      <c r="AD173" s="4"/>
      <c r="AE173" s="4"/>
      <c r="AF173" s="2"/>
    </row>
    <row r="174" spans="1:32" ht="112" x14ac:dyDescent="0.2">
      <c r="A174" s="3" t="s">
        <v>114</v>
      </c>
      <c r="B174" s="2" t="s">
        <v>287</v>
      </c>
      <c r="C174" s="3">
        <v>2024</v>
      </c>
      <c r="D174" s="3" t="s">
        <v>42</v>
      </c>
      <c r="E174" s="3" t="s">
        <v>50</v>
      </c>
      <c r="F174" s="4">
        <v>76</v>
      </c>
      <c r="G174" s="5">
        <v>230</v>
      </c>
      <c r="H174" s="5">
        <v>230</v>
      </c>
      <c r="I174" s="5">
        <f>IF(AND(G174&lt;&gt;"",H174&lt;&gt;""),(G174+H174)/2,"")</f>
        <v>230</v>
      </c>
      <c r="J174" s="4">
        <v>88</v>
      </c>
      <c r="K174" s="4">
        <v>88</v>
      </c>
      <c r="L174" s="4">
        <f>IF(AND(J174&lt;&gt;"",K174&lt;&gt;""),(J174+K174)/2,"")</f>
        <v>88</v>
      </c>
      <c r="M174" s="6">
        <f>IF(L174&lt;&gt;"",L174/33.7,"")</f>
        <v>2.611275964391691</v>
      </c>
      <c r="N174" s="6">
        <f>IF(AND(I174&lt;&gt;"",F174&lt;&gt;""),I174/F174,"")</f>
        <v>3.0263157894736841</v>
      </c>
      <c r="O174" s="2" t="s">
        <v>36</v>
      </c>
      <c r="P174" s="2" t="s">
        <v>37</v>
      </c>
      <c r="Q174" s="2" t="s">
        <v>100</v>
      </c>
      <c r="R174" s="3" t="s">
        <v>62</v>
      </c>
      <c r="S174" s="3" t="s">
        <v>63</v>
      </c>
      <c r="T174" s="2"/>
      <c r="U174" s="3"/>
      <c r="V174" s="3"/>
      <c r="W174" s="3"/>
      <c r="X174" s="3"/>
      <c r="Y174" s="3" t="str">
        <f>IF(AND(U174&lt;&gt;"",V174&lt;&gt;""),U174*V174,"")</f>
        <v/>
      </c>
      <c r="Z174" s="6"/>
      <c r="AA174" s="6"/>
      <c r="AB174" s="6"/>
      <c r="AC174" s="4"/>
      <c r="AD174" s="4"/>
      <c r="AE174" s="4"/>
      <c r="AF174" s="2"/>
    </row>
    <row r="175" spans="1:32" ht="16" x14ac:dyDescent="0.2">
      <c r="A175" s="3" t="s">
        <v>114</v>
      </c>
      <c r="B175" s="2" t="s">
        <v>123</v>
      </c>
      <c r="C175" s="3">
        <v>2024</v>
      </c>
      <c r="D175" s="3" t="s">
        <v>42</v>
      </c>
      <c r="E175" s="3" t="s">
        <v>74</v>
      </c>
      <c r="F175" s="4">
        <v>64</v>
      </c>
      <c r="G175" s="5">
        <v>253</v>
      </c>
      <c r="H175" s="5">
        <v>253</v>
      </c>
      <c r="I175" s="5">
        <f>IF(AND(G175&lt;&gt;"",H175&lt;&gt;""),(G175+H175)/2,"")</f>
        <v>253</v>
      </c>
      <c r="J175" s="4">
        <v>113</v>
      </c>
      <c r="K175" s="4">
        <v>113</v>
      </c>
      <c r="L175" s="4">
        <f>IF(AND(J175&lt;&gt;"",K175&lt;&gt;""),(J175+K175)/2,"")</f>
        <v>113</v>
      </c>
      <c r="M175" s="6">
        <f>IF(L175&lt;&gt;"",L175/33.7,"")</f>
        <v>3.353115727002967</v>
      </c>
      <c r="N175" s="6">
        <f>IF(AND(I175&lt;&gt;"",F175&lt;&gt;""),I175/F175,"")</f>
        <v>3.953125</v>
      </c>
      <c r="O175" s="2" t="s">
        <v>43</v>
      </c>
      <c r="P175" s="2" t="s">
        <v>44</v>
      </c>
      <c r="Q175" s="2"/>
      <c r="R175" s="3" t="s">
        <v>107</v>
      </c>
      <c r="S175" s="3" t="s">
        <v>124</v>
      </c>
      <c r="T175" s="2"/>
      <c r="U175" s="3"/>
      <c r="V175" s="3"/>
      <c r="W175" s="3"/>
      <c r="X175" s="3"/>
      <c r="Y175" s="3" t="str">
        <f>IF(AND(U175&lt;&gt;"",V175&lt;&gt;""),U175*V175,"")</f>
        <v/>
      </c>
      <c r="Z175" s="6"/>
      <c r="AA175" s="6"/>
      <c r="AB175" s="6"/>
      <c r="AC175" s="4"/>
      <c r="AD175" s="4"/>
      <c r="AE175" s="4"/>
      <c r="AF175" s="2"/>
    </row>
    <row r="176" spans="1:32" ht="16" x14ac:dyDescent="0.2">
      <c r="A176" s="3" t="s">
        <v>125</v>
      </c>
      <c r="B176" s="2" t="s">
        <v>288</v>
      </c>
      <c r="C176" s="3">
        <v>2024</v>
      </c>
      <c r="D176" s="3" t="s">
        <v>42</v>
      </c>
      <c r="E176" s="3" t="s">
        <v>74</v>
      </c>
      <c r="F176" s="4">
        <v>72.8</v>
      </c>
      <c r="G176" s="5">
        <v>224</v>
      </c>
      <c r="H176" s="5">
        <v>270</v>
      </c>
      <c r="I176" s="5">
        <f>IF(AND(G176&lt;&gt;"",H176&lt;&gt;""),(G176+H176)/2,"")</f>
        <v>247</v>
      </c>
      <c r="J176" s="4">
        <v>105</v>
      </c>
      <c r="K176" s="4">
        <v>125</v>
      </c>
      <c r="L176" s="4">
        <f>IF(AND(J176&lt;&gt;"",K176&lt;&gt;""),(J176+K176)/2,"")</f>
        <v>115</v>
      </c>
      <c r="M176" s="6">
        <f>IF(L176&lt;&gt;"",L176/33.7,"")</f>
        <v>3.4124629080118694</v>
      </c>
      <c r="N176" s="6">
        <f>IF(AND(I176&lt;&gt;"",F176&lt;&gt;""),I176/F176,"")</f>
        <v>3.3928571428571428</v>
      </c>
      <c r="O176" s="2" t="s">
        <v>43</v>
      </c>
      <c r="P176" s="2" t="s">
        <v>44</v>
      </c>
      <c r="Q176" s="2"/>
      <c r="R176" s="3" t="s">
        <v>62</v>
      </c>
      <c r="S176" s="3" t="s">
        <v>63</v>
      </c>
      <c r="T176" s="2"/>
      <c r="U176" s="3"/>
      <c r="V176" s="3"/>
      <c r="W176" s="3"/>
      <c r="X176" s="3"/>
      <c r="Y176" s="3" t="str">
        <f>IF(AND(U176&lt;&gt;"",V176&lt;&gt;""),U176*V176,"")</f>
        <v/>
      </c>
      <c r="Z176" s="6"/>
      <c r="AA176" s="6"/>
      <c r="AB176" s="6"/>
      <c r="AC176" s="4"/>
      <c r="AD176" s="4"/>
      <c r="AE176" s="4"/>
      <c r="AF176" s="2"/>
    </row>
    <row r="177" spans="1:32" ht="16" x14ac:dyDescent="0.2">
      <c r="A177" s="3" t="s">
        <v>125</v>
      </c>
      <c r="B177" s="2" t="s">
        <v>289</v>
      </c>
      <c r="C177" s="3">
        <v>2024</v>
      </c>
      <c r="D177" s="3" t="s">
        <v>42</v>
      </c>
      <c r="E177" s="3" t="s">
        <v>35</v>
      </c>
      <c r="F177" s="4">
        <v>71.400000000000006</v>
      </c>
      <c r="G177" s="5">
        <v>196</v>
      </c>
      <c r="H177" s="5">
        <v>220</v>
      </c>
      <c r="I177" s="5">
        <f>IF(AND(G177&lt;&gt;"",H177&lt;&gt;""),(G177+H177)/2,"")</f>
        <v>208</v>
      </c>
      <c r="J177" s="4">
        <v>95</v>
      </c>
      <c r="K177" s="4">
        <v>107</v>
      </c>
      <c r="L177" s="4">
        <f>IF(AND(J177&lt;&gt;"",K177&lt;&gt;""),(J177+K177)/2,"")</f>
        <v>101</v>
      </c>
      <c r="M177" s="6">
        <f>IF(L177&lt;&gt;"",L177/33.7,"")</f>
        <v>2.9970326409495547</v>
      </c>
      <c r="N177" s="6">
        <f>IF(AND(I177&lt;&gt;"",F177&lt;&gt;""),I177/F177,"")</f>
        <v>2.9131652661064424</v>
      </c>
      <c r="O177" s="2" t="s">
        <v>43</v>
      </c>
      <c r="P177" s="2" t="s">
        <v>44</v>
      </c>
      <c r="Q177" s="2"/>
      <c r="R177" s="3" t="s">
        <v>127</v>
      </c>
      <c r="S177" s="3" t="s">
        <v>128</v>
      </c>
      <c r="T177" s="2"/>
      <c r="U177" s="3"/>
      <c r="V177" s="3"/>
      <c r="W177" s="3"/>
      <c r="X177" s="3"/>
      <c r="Y177" s="3" t="str">
        <f>IF(AND(U177&lt;&gt;"",V177&lt;&gt;""),U177*V177,"")</f>
        <v/>
      </c>
      <c r="Z177" s="6"/>
      <c r="AA177" s="6"/>
      <c r="AB177" s="6"/>
      <c r="AC177" s="4"/>
      <c r="AD177" s="4"/>
      <c r="AE177" s="4"/>
      <c r="AF177" s="2"/>
    </row>
    <row r="178" spans="1:32" ht="48" x14ac:dyDescent="0.2">
      <c r="A178" s="3" t="s">
        <v>131</v>
      </c>
      <c r="B178" s="2" t="s">
        <v>132</v>
      </c>
      <c r="C178" s="3">
        <v>2024</v>
      </c>
      <c r="D178" s="3" t="s">
        <v>34</v>
      </c>
      <c r="E178" s="3" t="s">
        <v>35</v>
      </c>
      <c r="F178" s="4">
        <v>136.80000000000001</v>
      </c>
      <c r="G178" s="5">
        <v>450</v>
      </c>
      <c r="H178" s="5">
        <v>516</v>
      </c>
      <c r="I178" s="5">
        <f>IF(AND(G178&lt;&gt;"",H178&lt;&gt;""),(G178+H178)/2,"")</f>
        <v>483</v>
      </c>
      <c r="J178" s="4">
        <v>113</v>
      </c>
      <c r="K178" s="4">
        <v>129</v>
      </c>
      <c r="L178" s="4">
        <f>IF(AND(J178&lt;&gt;"",K178&lt;&gt;""),(J178+K178)/2,"")</f>
        <v>121</v>
      </c>
      <c r="M178" s="6">
        <f>IF(L178&lt;&gt;"",L178/33.7,"")</f>
        <v>3.5905044510385755</v>
      </c>
      <c r="N178" s="6">
        <f>IF(AND(I178&lt;&gt;"",F178&lt;&gt;""),I178/F178,"")</f>
        <v>3.5307017543859645</v>
      </c>
      <c r="O178" s="2" t="s">
        <v>133</v>
      </c>
      <c r="P178" s="2" t="s">
        <v>37</v>
      </c>
      <c r="Q178" s="2" t="s">
        <v>134</v>
      </c>
      <c r="R178" s="3" t="s">
        <v>135</v>
      </c>
      <c r="S178" s="3" t="s">
        <v>136</v>
      </c>
      <c r="T178" s="2" t="s">
        <v>137</v>
      </c>
      <c r="U178" s="3">
        <v>220</v>
      </c>
      <c r="V178" s="3">
        <v>30</v>
      </c>
      <c r="W178" s="3">
        <v>22</v>
      </c>
      <c r="X178" s="3">
        <v>300</v>
      </c>
      <c r="Y178" s="3">
        <f>IF(AND(U178&lt;&gt;"",V178&lt;&gt;""),U178*V178,"")</f>
        <v>6600</v>
      </c>
      <c r="Z178" s="6">
        <v>3.63</v>
      </c>
      <c r="AA178" s="6">
        <v>4.2</v>
      </c>
      <c r="AB178" s="6">
        <v>2.5</v>
      </c>
      <c r="AC178" s="4">
        <f>U178*Z178</f>
        <v>798.6</v>
      </c>
      <c r="AD178" s="4">
        <f>U178*AA178</f>
        <v>924</v>
      </c>
      <c r="AE178" s="4">
        <f>U178*AB178</f>
        <v>550</v>
      </c>
      <c r="AF178" s="2" t="s">
        <v>138</v>
      </c>
    </row>
    <row r="179" spans="1:32" ht="48" x14ac:dyDescent="0.2">
      <c r="A179" s="3" t="s">
        <v>131</v>
      </c>
      <c r="B179" s="2" t="s">
        <v>290</v>
      </c>
      <c r="C179" s="3">
        <v>2024</v>
      </c>
      <c r="D179" s="3" t="s">
        <v>34</v>
      </c>
      <c r="E179" s="3" t="s">
        <v>50</v>
      </c>
      <c r="F179" s="4">
        <v>86</v>
      </c>
      <c r="G179" s="5">
        <v>394</v>
      </c>
      <c r="H179" s="5">
        <v>419</v>
      </c>
      <c r="I179" s="5">
        <f>IF(AND(G179&lt;&gt;"",H179&lt;&gt;""),(G179+H179)/2,"")</f>
        <v>406.5</v>
      </c>
      <c r="J179" s="4">
        <v>130</v>
      </c>
      <c r="K179" s="4">
        <v>137</v>
      </c>
      <c r="L179" s="4">
        <f>IF(AND(J179&lt;&gt;"",K179&lt;&gt;""),(J179+K179)/2,"")</f>
        <v>133.5</v>
      </c>
      <c r="M179" s="6">
        <f>IF(L179&lt;&gt;"",L179/33.7,"")</f>
        <v>3.9614243323442131</v>
      </c>
      <c r="N179" s="6">
        <f>IF(AND(I179&lt;&gt;"",F179&lt;&gt;""),I179/F179,"")</f>
        <v>4.7267441860465116</v>
      </c>
      <c r="O179" s="2" t="s">
        <v>133</v>
      </c>
      <c r="P179" s="2" t="s">
        <v>37</v>
      </c>
      <c r="Q179" s="2" t="s">
        <v>134</v>
      </c>
      <c r="R179" s="3" t="s">
        <v>135</v>
      </c>
      <c r="S179" s="3" t="s">
        <v>136</v>
      </c>
      <c r="T179" s="2" t="s">
        <v>137</v>
      </c>
      <c r="U179" s="3">
        <v>220</v>
      </c>
      <c r="V179" s="3">
        <v>30</v>
      </c>
      <c r="W179" s="3">
        <v>22</v>
      </c>
      <c r="X179" s="3">
        <v>300</v>
      </c>
      <c r="Y179" s="3">
        <f>IF(AND(U179&lt;&gt;"",V179&lt;&gt;""),U179*V179,"")</f>
        <v>6600</v>
      </c>
      <c r="Z179" s="6">
        <v>3.63</v>
      </c>
      <c r="AA179" s="6">
        <v>4.2</v>
      </c>
      <c r="AB179" s="6">
        <v>2.5</v>
      </c>
      <c r="AC179" s="4">
        <f>U179*Z179</f>
        <v>798.6</v>
      </c>
      <c r="AD179" s="4">
        <f>U179*AA179</f>
        <v>924</v>
      </c>
      <c r="AE179" s="4">
        <f>U179*AB179</f>
        <v>550</v>
      </c>
      <c r="AF179" s="2" t="s">
        <v>138</v>
      </c>
    </row>
    <row r="180" spans="1:32" ht="48" x14ac:dyDescent="0.2">
      <c r="A180" s="3" t="s">
        <v>131</v>
      </c>
      <c r="B180" s="2" t="s">
        <v>291</v>
      </c>
      <c r="C180" s="3">
        <v>2024</v>
      </c>
      <c r="D180" s="3" t="s">
        <v>34</v>
      </c>
      <c r="E180" s="3" t="s">
        <v>35</v>
      </c>
      <c r="F180" s="4">
        <v>120</v>
      </c>
      <c r="G180" s="5">
        <v>427</v>
      </c>
      <c r="H180" s="5">
        <v>427</v>
      </c>
      <c r="I180" s="5">
        <f>IF(AND(G180&lt;&gt;"",H180&lt;&gt;""),(G180+H180)/2,"")</f>
        <v>427</v>
      </c>
      <c r="J180" s="4">
        <v>105</v>
      </c>
      <c r="K180" s="4">
        <v>105</v>
      </c>
      <c r="L180" s="4">
        <f>IF(AND(J180&lt;&gt;"",K180&lt;&gt;""),(J180+K180)/2,"")</f>
        <v>105</v>
      </c>
      <c r="M180" s="6">
        <f>IF(L180&lt;&gt;"",L180/33.7,"")</f>
        <v>3.1157270029673589</v>
      </c>
      <c r="N180" s="6">
        <f>IF(AND(I180&lt;&gt;"",F180&lt;&gt;""),I180/F180,"")</f>
        <v>3.5583333333333331</v>
      </c>
      <c r="O180" s="2" t="s">
        <v>133</v>
      </c>
      <c r="P180" s="2" t="s">
        <v>37</v>
      </c>
      <c r="Q180" s="2" t="s">
        <v>134</v>
      </c>
      <c r="R180" s="3" t="s">
        <v>135</v>
      </c>
      <c r="S180" s="3" t="s">
        <v>136</v>
      </c>
      <c r="T180" s="2" t="s">
        <v>137</v>
      </c>
      <c r="U180" s="3">
        <v>220</v>
      </c>
      <c r="V180" s="3">
        <v>30</v>
      </c>
      <c r="W180" s="3">
        <v>22</v>
      </c>
      <c r="X180" s="3">
        <v>300</v>
      </c>
      <c r="Y180" s="3">
        <f>IF(AND(U180&lt;&gt;"",V180&lt;&gt;""),U180*V180,"")</f>
        <v>6600</v>
      </c>
      <c r="Z180" s="6">
        <v>3.63</v>
      </c>
      <c r="AA180" s="6">
        <v>4.2</v>
      </c>
      <c r="AB180" s="6">
        <v>2.5</v>
      </c>
      <c r="AC180" s="4">
        <f>U180*Z180</f>
        <v>798.6</v>
      </c>
      <c r="AD180" s="4">
        <f>U180*AA180</f>
        <v>924</v>
      </c>
      <c r="AE180" s="4">
        <f>U180*AB180</f>
        <v>550</v>
      </c>
      <c r="AF180" s="2" t="s">
        <v>138</v>
      </c>
    </row>
    <row r="181" spans="1:32" ht="48" x14ac:dyDescent="0.2">
      <c r="A181" s="3" t="s">
        <v>131</v>
      </c>
      <c r="B181" s="2" t="s">
        <v>141</v>
      </c>
      <c r="C181" s="3">
        <v>2024</v>
      </c>
      <c r="D181" s="3" t="s">
        <v>34</v>
      </c>
      <c r="E181" s="3" t="s">
        <v>35</v>
      </c>
      <c r="F181" s="4">
        <v>136.80000000000001</v>
      </c>
      <c r="G181" s="5">
        <v>365</v>
      </c>
      <c r="H181" s="5">
        <v>411</v>
      </c>
      <c r="I181" s="5">
        <f>IF(AND(G181&lt;&gt;"",H181&lt;&gt;""),(G181+H181)/2,"")</f>
        <v>388</v>
      </c>
      <c r="J181" s="4">
        <v>118</v>
      </c>
      <c r="K181" s="4">
        <v>133</v>
      </c>
      <c r="L181" s="4">
        <f>IF(AND(J181&lt;&gt;"",K181&lt;&gt;""),(J181+K181)/2,"")</f>
        <v>125.5</v>
      </c>
      <c r="M181" s="6">
        <f>IF(L181&lt;&gt;"",L181/33.7,"")</f>
        <v>3.724035608308605</v>
      </c>
      <c r="N181" s="6">
        <f>IF(AND(I181&lt;&gt;"",F181&lt;&gt;""),I181/F181,"")</f>
        <v>2.8362573099415203</v>
      </c>
      <c r="O181" s="2" t="s">
        <v>133</v>
      </c>
      <c r="P181" s="2" t="s">
        <v>37</v>
      </c>
      <c r="Q181" s="2" t="s">
        <v>134</v>
      </c>
      <c r="R181" s="3" t="s">
        <v>135</v>
      </c>
      <c r="S181" s="3" t="s">
        <v>136</v>
      </c>
      <c r="T181" s="2" t="s">
        <v>137</v>
      </c>
      <c r="U181" s="3">
        <v>220</v>
      </c>
      <c r="V181" s="3">
        <v>30</v>
      </c>
      <c r="W181" s="3">
        <v>22</v>
      </c>
      <c r="X181" s="3">
        <v>300</v>
      </c>
      <c r="Y181" s="3">
        <f>IF(AND(U181&lt;&gt;"",V181&lt;&gt;""),U181*V181,"")</f>
        <v>6600</v>
      </c>
      <c r="Z181" s="6">
        <v>3.63</v>
      </c>
      <c r="AA181" s="6">
        <v>4.2</v>
      </c>
      <c r="AB181" s="6">
        <v>2.5</v>
      </c>
      <c r="AC181" s="4">
        <f>U181*Z181</f>
        <v>798.6</v>
      </c>
      <c r="AD181" s="4">
        <f>U181*AA181</f>
        <v>924</v>
      </c>
      <c r="AE181" s="4">
        <f>U181*AB181</f>
        <v>550</v>
      </c>
      <c r="AF181" s="2" t="s">
        <v>138</v>
      </c>
    </row>
    <row r="182" spans="1:32" ht="16" x14ac:dyDescent="0.2">
      <c r="A182" s="3" t="s">
        <v>292</v>
      </c>
      <c r="B182" s="2" t="s">
        <v>293</v>
      </c>
      <c r="C182" s="3">
        <v>2024</v>
      </c>
      <c r="D182" s="3" t="s">
        <v>34</v>
      </c>
      <c r="E182" s="3" t="s">
        <v>35</v>
      </c>
      <c r="F182" s="4">
        <v>45.6</v>
      </c>
      <c r="G182" s="5">
        <v>233</v>
      </c>
      <c r="H182" s="5">
        <v>242</v>
      </c>
      <c r="I182" s="5">
        <f>IF(AND(G182&lt;&gt;"",H182&lt;&gt;""),(G182+H182)/2,"")</f>
        <v>237.5</v>
      </c>
      <c r="J182" s="4">
        <v>82</v>
      </c>
      <c r="K182" s="4">
        <v>87</v>
      </c>
      <c r="L182" s="4">
        <f>IF(AND(J182&lt;&gt;"",K182&lt;&gt;""),(J182+K182)/2,"")</f>
        <v>84.5</v>
      </c>
      <c r="M182" s="6">
        <f>IF(L182&lt;&gt;"",L182/33.7,"")</f>
        <v>2.5074183976261124</v>
      </c>
      <c r="N182" s="6">
        <f>IF(AND(I182&lt;&gt;"",F182&lt;&gt;""),I182/F182,"")</f>
        <v>5.208333333333333</v>
      </c>
      <c r="O182" s="2" t="s">
        <v>43</v>
      </c>
      <c r="P182" s="2" t="s">
        <v>44</v>
      </c>
      <c r="Q182" s="2"/>
      <c r="R182" s="3" t="s">
        <v>62</v>
      </c>
      <c r="S182" s="3" t="s">
        <v>63</v>
      </c>
      <c r="T182" s="2"/>
      <c r="U182" s="3"/>
      <c r="V182" s="3"/>
      <c r="W182" s="3"/>
      <c r="X182" s="3"/>
      <c r="Y182" s="3" t="str">
        <f>IF(AND(U182&lt;&gt;"",V182&lt;&gt;""),U182*V182,"")</f>
        <v/>
      </c>
      <c r="Z182" s="6"/>
      <c r="AA182" s="6"/>
      <c r="AB182" s="6"/>
      <c r="AC182" s="4"/>
      <c r="AD182" s="4"/>
      <c r="AE182" s="4"/>
      <c r="AF182" s="2"/>
    </row>
    <row r="183" spans="1:32" ht="16" x14ac:dyDescent="0.2">
      <c r="A183" s="3" t="s">
        <v>144</v>
      </c>
      <c r="B183" s="2" t="s">
        <v>294</v>
      </c>
      <c r="C183" s="3">
        <v>2024</v>
      </c>
      <c r="D183" s="3" t="s">
        <v>34</v>
      </c>
      <c r="E183" s="3" t="s">
        <v>35</v>
      </c>
      <c r="F183" s="4">
        <v>95</v>
      </c>
      <c r="G183" s="5">
        <v>230</v>
      </c>
      <c r="H183" s="5">
        <v>230</v>
      </c>
      <c r="I183" s="5">
        <f>IF(AND(G183&lt;&gt;"",H183&lt;&gt;""),(G183+H183)/2,"")</f>
        <v>230</v>
      </c>
      <c r="J183" s="4">
        <v>73</v>
      </c>
      <c r="K183" s="4">
        <v>73</v>
      </c>
      <c r="L183" s="4">
        <f>IF(AND(J183&lt;&gt;"",K183&lt;&gt;""),(J183+K183)/2,"")</f>
        <v>73</v>
      </c>
      <c r="M183" s="6">
        <f>IF(L183&lt;&gt;"",L183/33.7,"")</f>
        <v>2.1661721068249258</v>
      </c>
      <c r="N183" s="6">
        <f>IF(AND(I183&lt;&gt;"",F183&lt;&gt;""),I183/F183,"")</f>
        <v>2.4210526315789473</v>
      </c>
      <c r="O183" s="2" t="s">
        <v>43</v>
      </c>
      <c r="P183" s="2" t="s">
        <v>44</v>
      </c>
      <c r="Q183" s="2"/>
      <c r="R183" s="3" t="s">
        <v>295</v>
      </c>
      <c r="S183" s="3" t="s">
        <v>296</v>
      </c>
      <c r="T183" s="2"/>
      <c r="U183" s="3"/>
      <c r="V183" s="3"/>
      <c r="W183" s="3"/>
      <c r="X183" s="3"/>
      <c r="Y183" s="3" t="str">
        <f>IF(AND(U183&lt;&gt;"",V183&lt;&gt;""),U183*V183,"")</f>
        <v/>
      </c>
      <c r="Z183" s="6"/>
      <c r="AA183" s="6"/>
      <c r="AB183" s="6"/>
      <c r="AC183" s="4"/>
      <c r="AD183" s="4"/>
      <c r="AE183" s="4"/>
      <c r="AF183" s="2"/>
    </row>
    <row r="184" spans="1:32" ht="16" x14ac:dyDescent="0.2">
      <c r="A184" s="3" t="s">
        <v>144</v>
      </c>
      <c r="B184" s="2" t="s">
        <v>294</v>
      </c>
      <c r="C184" s="3">
        <v>2024</v>
      </c>
      <c r="D184" s="3" t="s">
        <v>34</v>
      </c>
      <c r="E184" s="3" t="s">
        <v>35</v>
      </c>
      <c r="F184" s="4">
        <v>95.8</v>
      </c>
      <c r="G184" s="5">
        <v>230</v>
      </c>
      <c r="H184" s="5">
        <v>230</v>
      </c>
      <c r="I184" s="5">
        <f>IF(AND(G184&lt;&gt;"",H184&lt;&gt;""),(G184+H184)/2,"")</f>
        <v>230</v>
      </c>
      <c r="J184" s="4">
        <v>73</v>
      </c>
      <c r="K184" s="4">
        <v>73</v>
      </c>
      <c r="L184" s="4">
        <f>IF(AND(J184&lt;&gt;"",K184&lt;&gt;""),(J184+K184)/2,"")</f>
        <v>73</v>
      </c>
      <c r="M184" s="6">
        <f>IF(L184&lt;&gt;"",L184/33.7,"")</f>
        <v>2.1661721068249258</v>
      </c>
      <c r="N184" s="6">
        <f>IF(AND(I184&lt;&gt;"",F184&lt;&gt;""),I184/F184,"")</f>
        <v>2.4008350730688934</v>
      </c>
      <c r="O184" s="2" t="s">
        <v>43</v>
      </c>
      <c r="P184" s="2" t="s">
        <v>44</v>
      </c>
      <c r="Q184" s="2"/>
      <c r="R184" s="3" t="s">
        <v>295</v>
      </c>
      <c r="S184" s="3" t="s">
        <v>296</v>
      </c>
      <c r="T184" s="2"/>
      <c r="U184" s="3"/>
      <c r="V184" s="3"/>
      <c r="W184" s="3"/>
      <c r="X184" s="3"/>
      <c r="Y184" s="3" t="str">
        <f>IF(AND(U184&lt;&gt;"",V184&lt;&gt;""),U184*V184,"")</f>
        <v/>
      </c>
      <c r="Z184" s="6"/>
      <c r="AA184" s="6"/>
      <c r="AB184" s="6"/>
      <c r="AC184" s="4"/>
      <c r="AD184" s="4"/>
      <c r="AE184" s="4"/>
      <c r="AF184" s="2"/>
    </row>
    <row r="185" spans="1:32" ht="16" x14ac:dyDescent="0.2">
      <c r="A185" s="3" t="s">
        <v>144</v>
      </c>
      <c r="B185" s="2" t="s">
        <v>297</v>
      </c>
      <c r="C185" s="3">
        <v>2024</v>
      </c>
      <c r="D185" s="3" t="s">
        <v>42</v>
      </c>
      <c r="E185" s="3" t="s">
        <v>35</v>
      </c>
      <c r="F185" s="4">
        <v>95</v>
      </c>
      <c r="G185" s="5">
        <v>235</v>
      </c>
      <c r="H185" s="5">
        <v>235</v>
      </c>
      <c r="I185" s="5">
        <f>IF(AND(G185&lt;&gt;"",H185&lt;&gt;""),(G185+H185)/2,"")</f>
        <v>235</v>
      </c>
      <c r="J185" s="4">
        <v>74</v>
      </c>
      <c r="K185" s="4">
        <v>74</v>
      </c>
      <c r="L185" s="4">
        <f>IF(AND(J185&lt;&gt;"",K185&lt;&gt;""),(J185+K185)/2,"")</f>
        <v>74</v>
      </c>
      <c r="M185" s="6">
        <f>IF(L185&lt;&gt;"",L185/33.7,"")</f>
        <v>2.1958456973293767</v>
      </c>
      <c r="N185" s="6">
        <f>IF(AND(I185&lt;&gt;"",F185&lt;&gt;""),I185/F185,"")</f>
        <v>2.4736842105263159</v>
      </c>
      <c r="O185" s="2" t="s">
        <v>43</v>
      </c>
      <c r="P185" s="2" t="s">
        <v>44</v>
      </c>
      <c r="Q185" s="2"/>
      <c r="R185" s="3" t="s">
        <v>295</v>
      </c>
      <c r="S185" s="3" t="s">
        <v>296</v>
      </c>
      <c r="T185" s="2"/>
      <c r="U185" s="3"/>
      <c r="V185" s="3"/>
      <c r="W185" s="3"/>
      <c r="X185" s="3"/>
      <c r="Y185" s="3" t="str">
        <f>IF(AND(U185&lt;&gt;"",V185&lt;&gt;""),U185*V185,"")</f>
        <v/>
      </c>
      <c r="Z185" s="6"/>
      <c r="AA185" s="6"/>
      <c r="AB185" s="6"/>
      <c r="AC185" s="4"/>
      <c r="AD185" s="4"/>
      <c r="AE185" s="4"/>
      <c r="AF185" s="2"/>
    </row>
    <row r="186" spans="1:32" ht="16" x14ac:dyDescent="0.2">
      <c r="A186" s="3" t="s">
        <v>144</v>
      </c>
      <c r="B186" s="2" t="s">
        <v>297</v>
      </c>
      <c r="C186" s="3">
        <v>2024</v>
      </c>
      <c r="D186" s="3" t="s">
        <v>42</v>
      </c>
      <c r="E186" s="3" t="s">
        <v>35</v>
      </c>
      <c r="F186" s="4">
        <v>95.8</v>
      </c>
      <c r="G186" s="5">
        <v>235</v>
      </c>
      <c r="H186" s="5">
        <v>235</v>
      </c>
      <c r="I186" s="5">
        <f>IF(AND(G186&lt;&gt;"",H186&lt;&gt;""),(G186+H186)/2,"")</f>
        <v>235</v>
      </c>
      <c r="J186" s="4">
        <v>74</v>
      </c>
      <c r="K186" s="4">
        <v>74</v>
      </c>
      <c r="L186" s="4">
        <f>IF(AND(J186&lt;&gt;"",K186&lt;&gt;""),(J186+K186)/2,"")</f>
        <v>74</v>
      </c>
      <c r="M186" s="6">
        <f>IF(L186&lt;&gt;"",L186/33.7,"")</f>
        <v>2.1958456973293767</v>
      </c>
      <c r="N186" s="6">
        <f>IF(AND(I186&lt;&gt;"",F186&lt;&gt;""),I186/F186,"")</f>
        <v>2.453027139874739</v>
      </c>
      <c r="O186" s="2" t="s">
        <v>43</v>
      </c>
      <c r="P186" s="2" t="s">
        <v>44</v>
      </c>
      <c r="Q186" s="2"/>
      <c r="R186" s="3" t="s">
        <v>295</v>
      </c>
      <c r="S186" s="3" t="s">
        <v>296</v>
      </c>
      <c r="T186" s="2"/>
      <c r="U186" s="3"/>
      <c r="V186" s="3"/>
      <c r="W186" s="3"/>
      <c r="X186" s="3"/>
      <c r="Y186" s="3" t="str">
        <f>IF(AND(U186&lt;&gt;"",V186&lt;&gt;""),U186*V186,"")</f>
        <v/>
      </c>
      <c r="Z186" s="6"/>
      <c r="AA186" s="6"/>
      <c r="AB186" s="6"/>
      <c r="AC186" s="4"/>
      <c r="AD186" s="4"/>
      <c r="AE186" s="4"/>
      <c r="AF186" s="2"/>
    </row>
    <row r="187" spans="1:32" ht="16" x14ac:dyDescent="0.2">
      <c r="A187" s="3" t="s">
        <v>144</v>
      </c>
      <c r="B187" s="2" t="s">
        <v>298</v>
      </c>
      <c r="C187" s="3">
        <v>2024</v>
      </c>
      <c r="D187" s="3" t="s">
        <v>34</v>
      </c>
      <c r="E187" s="3" t="s">
        <v>35</v>
      </c>
      <c r="F187" s="4">
        <v>111</v>
      </c>
      <c r="G187" s="5">
        <v>305</v>
      </c>
      <c r="H187" s="5">
        <v>305</v>
      </c>
      <c r="I187" s="5">
        <f>IF(AND(G187&lt;&gt;"",H187&lt;&gt;""),(G187+H187)/2,"")</f>
        <v>305</v>
      </c>
      <c r="J187" s="4">
        <v>82</v>
      </c>
      <c r="K187" s="4">
        <v>82</v>
      </c>
      <c r="L187" s="4">
        <f>IF(AND(J187&lt;&gt;"",K187&lt;&gt;""),(J187+K187)/2,"")</f>
        <v>82</v>
      </c>
      <c r="M187" s="6">
        <f>IF(L187&lt;&gt;"",L187/33.7,"")</f>
        <v>2.4332344213649848</v>
      </c>
      <c r="N187" s="6">
        <f>IF(AND(I187&lt;&gt;"",F187&lt;&gt;""),I187/F187,"")</f>
        <v>2.7477477477477477</v>
      </c>
      <c r="O187" s="2" t="s">
        <v>43</v>
      </c>
      <c r="P187" s="2" t="s">
        <v>44</v>
      </c>
      <c r="Q187" s="2"/>
      <c r="R187" s="3" t="s">
        <v>146</v>
      </c>
      <c r="S187" s="3" t="s">
        <v>299</v>
      </c>
      <c r="T187" s="2"/>
      <c r="U187" s="3"/>
      <c r="V187" s="3"/>
      <c r="W187" s="3"/>
      <c r="X187" s="3"/>
      <c r="Y187" s="3" t="str">
        <f>IF(AND(U187&lt;&gt;"",V187&lt;&gt;""),U187*V187,"")</f>
        <v/>
      </c>
      <c r="Z187" s="6"/>
      <c r="AA187" s="6"/>
      <c r="AB187" s="6"/>
      <c r="AC187" s="4"/>
      <c r="AD187" s="4"/>
      <c r="AE187" s="4"/>
      <c r="AF187" s="2"/>
    </row>
    <row r="188" spans="1:32" ht="16" x14ac:dyDescent="0.2">
      <c r="A188" s="3" t="s">
        <v>144</v>
      </c>
      <c r="B188" s="2" t="s">
        <v>300</v>
      </c>
      <c r="C188" s="3">
        <v>2024</v>
      </c>
      <c r="D188" s="3" t="s">
        <v>42</v>
      </c>
      <c r="E188" s="3" t="s">
        <v>74</v>
      </c>
      <c r="F188" s="4">
        <v>72.2</v>
      </c>
      <c r="G188" s="5">
        <v>251</v>
      </c>
      <c r="H188" s="5">
        <v>251</v>
      </c>
      <c r="I188" s="5">
        <f>IF(AND(G188&lt;&gt;"",H188&lt;&gt;""),(G188+H188)/2,"")</f>
        <v>251</v>
      </c>
      <c r="J188" s="4">
        <v>107</v>
      </c>
      <c r="K188" s="4">
        <v>107</v>
      </c>
      <c r="L188" s="4">
        <f>IF(AND(J188&lt;&gt;"",K188&lt;&gt;""),(J188+K188)/2,"")</f>
        <v>107</v>
      </c>
      <c r="M188" s="6">
        <f>IF(L188&lt;&gt;"",L188/33.7,"")</f>
        <v>3.1750741839762608</v>
      </c>
      <c r="N188" s="6">
        <f>IF(AND(I188&lt;&gt;"",F188&lt;&gt;""),I188/F188,"")</f>
        <v>3.4764542936288088</v>
      </c>
      <c r="O188" s="2" t="s">
        <v>43</v>
      </c>
      <c r="P188" s="2" t="s">
        <v>44</v>
      </c>
      <c r="Q188" s="2"/>
      <c r="R188" s="3" t="s">
        <v>301</v>
      </c>
      <c r="S188" s="3" t="s">
        <v>302</v>
      </c>
      <c r="T188" s="2"/>
      <c r="U188" s="3"/>
      <c r="V188" s="3"/>
      <c r="W188" s="3"/>
      <c r="X188" s="3"/>
      <c r="Y188" s="3" t="str">
        <f>IF(AND(U188&lt;&gt;"",V188&lt;&gt;""),U188*V188,"")</f>
        <v/>
      </c>
      <c r="Z188" s="6"/>
      <c r="AA188" s="6"/>
      <c r="AB188" s="6"/>
      <c r="AC188" s="4"/>
      <c r="AD188" s="4"/>
      <c r="AE188" s="4"/>
      <c r="AF188" s="2"/>
    </row>
    <row r="189" spans="1:32" ht="16" x14ac:dyDescent="0.2">
      <c r="A189" s="3" t="s">
        <v>144</v>
      </c>
      <c r="B189" s="2" t="s">
        <v>303</v>
      </c>
      <c r="C189" s="3">
        <v>2024</v>
      </c>
      <c r="D189" s="3" t="s">
        <v>42</v>
      </c>
      <c r="E189" s="3" t="s">
        <v>35</v>
      </c>
      <c r="F189" s="4">
        <v>72.2</v>
      </c>
      <c r="G189" s="5">
        <v>205</v>
      </c>
      <c r="H189" s="5">
        <v>205</v>
      </c>
      <c r="I189" s="5">
        <f>IF(AND(G189&lt;&gt;"",H189&lt;&gt;""),(G189+H189)/2,"")</f>
        <v>205</v>
      </c>
      <c r="J189" s="4">
        <v>87</v>
      </c>
      <c r="K189" s="4">
        <v>87</v>
      </c>
      <c r="L189" s="4">
        <f>IF(AND(J189&lt;&gt;"",K189&lt;&gt;""),(J189+K189)/2,"")</f>
        <v>87</v>
      </c>
      <c r="M189" s="6">
        <f>IF(L189&lt;&gt;"",L189/33.7,"")</f>
        <v>2.58160237388724</v>
      </c>
      <c r="N189" s="6">
        <f>IF(AND(I189&lt;&gt;"",F189&lt;&gt;""),I189/F189,"")</f>
        <v>2.8393351800554014</v>
      </c>
      <c r="O189" s="2" t="s">
        <v>43</v>
      </c>
      <c r="P189" s="2" t="s">
        <v>44</v>
      </c>
      <c r="Q189" s="2"/>
      <c r="R189" s="3" t="s">
        <v>301</v>
      </c>
      <c r="S189" s="3" t="s">
        <v>302</v>
      </c>
      <c r="T189" s="2"/>
      <c r="U189" s="3"/>
      <c r="V189" s="3"/>
      <c r="W189" s="3"/>
      <c r="X189" s="3"/>
      <c r="Y189" s="3" t="str">
        <f>IF(AND(U189&lt;&gt;"",V189&lt;&gt;""),U189*V189,"")</f>
        <v/>
      </c>
      <c r="Z189" s="6"/>
      <c r="AA189" s="6"/>
      <c r="AB189" s="6"/>
      <c r="AC189" s="4"/>
      <c r="AD189" s="4"/>
      <c r="AE189" s="4"/>
      <c r="AF189" s="2"/>
    </row>
    <row r="190" spans="1:32" ht="16" x14ac:dyDescent="0.2">
      <c r="A190" s="3" t="s">
        <v>144</v>
      </c>
      <c r="B190" s="2" t="s">
        <v>304</v>
      </c>
      <c r="C190" s="3">
        <v>2024</v>
      </c>
      <c r="D190" s="3" t="s">
        <v>42</v>
      </c>
      <c r="E190" s="3" t="s">
        <v>35</v>
      </c>
      <c r="F190" s="4">
        <v>72.2</v>
      </c>
      <c r="G190" s="5">
        <v>207</v>
      </c>
      <c r="H190" s="5">
        <v>207</v>
      </c>
      <c r="I190" s="5">
        <f>IF(AND(G190&lt;&gt;"",H190&lt;&gt;""),(G190+H190)/2,"")</f>
        <v>207</v>
      </c>
      <c r="J190" s="4">
        <v>87</v>
      </c>
      <c r="K190" s="4">
        <v>87</v>
      </c>
      <c r="L190" s="4">
        <f>IF(AND(J190&lt;&gt;"",K190&lt;&gt;""),(J190+K190)/2,"")</f>
        <v>87</v>
      </c>
      <c r="M190" s="6">
        <f>IF(L190&lt;&gt;"",L190/33.7,"")</f>
        <v>2.58160237388724</v>
      </c>
      <c r="N190" s="6">
        <f>IF(AND(I190&lt;&gt;"",F190&lt;&gt;""),I190/F190,"")</f>
        <v>2.8670360110803323</v>
      </c>
      <c r="O190" s="2" t="s">
        <v>43</v>
      </c>
      <c r="P190" s="2" t="s">
        <v>44</v>
      </c>
      <c r="Q190" s="2"/>
      <c r="R190" s="3" t="s">
        <v>301</v>
      </c>
      <c r="S190" s="3" t="s">
        <v>302</v>
      </c>
      <c r="T190" s="2"/>
      <c r="U190" s="3"/>
      <c r="V190" s="3"/>
      <c r="W190" s="3"/>
      <c r="X190" s="3"/>
      <c r="Y190" s="3" t="str">
        <f>IF(AND(U190&lt;&gt;"",V190&lt;&gt;""),U190*V190,"")</f>
        <v/>
      </c>
      <c r="Z190" s="6"/>
      <c r="AA190" s="6"/>
      <c r="AB190" s="6"/>
      <c r="AC190" s="4"/>
      <c r="AD190" s="4"/>
      <c r="AE190" s="4"/>
      <c r="AF190" s="2"/>
    </row>
    <row r="191" spans="1:32" ht="16" x14ac:dyDescent="0.2">
      <c r="A191" s="3" t="s">
        <v>144</v>
      </c>
      <c r="B191" s="2" t="s">
        <v>305</v>
      </c>
      <c r="C191" s="3">
        <v>2024</v>
      </c>
      <c r="D191" s="3" t="s">
        <v>34</v>
      </c>
      <c r="E191" s="3" t="s">
        <v>50</v>
      </c>
      <c r="F191" s="4">
        <v>95</v>
      </c>
      <c r="G191" s="5">
        <v>298</v>
      </c>
      <c r="H191" s="5">
        <v>298</v>
      </c>
      <c r="I191" s="5">
        <f>IF(AND(G191&lt;&gt;"",H191&lt;&gt;""),(G191+H191)/2,"")</f>
        <v>298</v>
      </c>
      <c r="J191" s="4">
        <v>96</v>
      </c>
      <c r="K191" s="4">
        <v>96</v>
      </c>
      <c r="L191" s="4">
        <f>IF(AND(J191&lt;&gt;"",K191&lt;&gt;""),(J191+K191)/2,"")</f>
        <v>96</v>
      </c>
      <c r="M191" s="6">
        <f>IF(L191&lt;&gt;"",L191/33.7,"")</f>
        <v>2.8486646884272995</v>
      </c>
      <c r="N191" s="6">
        <f>IF(AND(I191&lt;&gt;"",F191&lt;&gt;""),I191/F191,"")</f>
        <v>3.1368421052631579</v>
      </c>
      <c r="O191" s="2" t="s">
        <v>43</v>
      </c>
      <c r="P191" s="2" t="s">
        <v>44</v>
      </c>
      <c r="Q191" s="2"/>
      <c r="R191" s="3" t="s">
        <v>295</v>
      </c>
      <c r="S191" s="3" t="s">
        <v>296</v>
      </c>
      <c r="T191" s="2"/>
      <c r="U191" s="3"/>
      <c r="V191" s="3"/>
      <c r="W191" s="3"/>
      <c r="X191" s="3"/>
      <c r="Y191" s="3" t="str">
        <f>IF(AND(U191&lt;&gt;"",V191&lt;&gt;""),U191*V191,"")</f>
        <v/>
      </c>
      <c r="Z191" s="6"/>
      <c r="AA191" s="6"/>
      <c r="AB191" s="6"/>
      <c r="AC191" s="4"/>
      <c r="AD191" s="4"/>
      <c r="AE191" s="4"/>
      <c r="AF191" s="2"/>
    </row>
    <row r="192" spans="1:32" ht="16" x14ac:dyDescent="0.2">
      <c r="A192" s="3" t="s">
        <v>144</v>
      </c>
      <c r="B192" s="2" t="s">
        <v>306</v>
      </c>
      <c r="C192" s="3">
        <v>2024</v>
      </c>
      <c r="D192" s="3" t="s">
        <v>34</v>
      </c>
      <c r="E192" s="3" t="s">
        <v>35</v>
      </c>
      <c r="F192" s="4">
        <v>95</v>
      </c>
      <c r="G192" s="5">
        <v>280</v>
      </c>
      <c r="H192" s="5">
        <v>280</v>
      </c>
      <c r="I192" s="5">
        <f>IF(AND(G192&lt;&gt;"",H192&lt;&gt;""),(G192+H192)/2,"")</f>
        <v>280</v>
      </c>
      <c r="J192" s="4">
        <v>90</v>
      </c>
      <c r="K192" s="4">
        <v>90</v>
      </c>
      <c r="L192" s="4">
        <f>IF(AND(J192&lt;&gt;"",K192&lt;&gt;""),(J192+K192)/2,"")</f>
        <v>90</v>
      </c>
      <c r="M192" s="6">
        <f>IF(L192&lt;&gt;"",L192/33.7,"")</f>
        <v>2.6706231454005933</v>
      </c>
      <c r="N192" s="6">
        <f>IF(AND(I192&lt;&gt;"",F192&lt;&gt;""),I192/F192,"")</f>
        <v>2.9473684210526314</v>
      </c>
      <c r="O192" s="2" t="s">
        <v>43</v>
      </c>
      <c r="P192" s="2" t="s">
        <v>44</v>
      </c>
      <c r="Q192" s="2"/>
      <c r="R192" s="3" t="s">
        <v>295</v>
      </c>
      <c r="S192" s="3" t="s">
        <v>296</v>
      </c>
      <c r="T192" s="2"/>
      <c r="U192" s="3"/>
      <c r="V192" s="3"/>
      <c r="W192" s="3"/>
      <c r="X192" s="3"/>
      <c r="Y192" s="3" t="str">
        <f>IF(AND(U192&lt;&gt;"",V192&lt;&gt;""),U192*V192,"")</f>
        <v/>
      </c>
      <c r="Z192" s="6"/>
      <c r="AA192" s="6"/>
      <c r="AB192" s="6"/>
      <c r="AC192" s="4"/>
      <c r="AD192" s="4"/>
      <c r="AE192" s="4"/>
      <c r="AF192" s="2"/>
    </row>
    <row r="193" spans="1:32" ht="16" x14ac:dyDescent="0.2">
      <c r="A193" s="3" t="s">
        <v>144</v>
      </c>
      <c r="B193" s="2" t="s">
        <v>307</v>
      </c>
      <c r="C193" s="3">
        <v>2024</v>
      </c>
      <c r="D193" s="3" t="s">
        <v>42</v>
      </c>
      <c r="E193" s="3" t="s">
        <v>35</v>
      </c>
      <c r="F193" s="4">
        <v>88.9</v>
      </c>
      <c r="G193" s="5">
        <v>265</v>
      </c>
      <c r="H193" s="5">
        <v>265</v>
      </c>
      <c r="I193" s="5">
        <f>IF(AND(G193&lt;&gt;"",H193&lt;&gt;""),(G193+H193)/2,"")</f>
        <v>265</v>
      </c>
      <c r="J193" s="4">
        <v>85</v>
      </c>
      <c r="K193" s="4">
        <v>85</v>
      </c>
      <c r="L193" s="4">
        <f>IF(AND(J193&lt;&gt;"",K193&lt;&gt;""),(J193+K193)/2,"")</f>
        <v>85</v>
      </c>
      <c r="M193" s="6">
        <f>IF(L193&lt;&gt;"",L193/33.7,"")</f>
        <v>2.5222551928783381</v>
      </c>
      <c r="N193" s="6">
        <f>IF(AND(I193&lt;&gt;"",F193&lt;&gt;""),I193/F193,"")</f>
        <v>2.9808773903262091</v>
      </c>
      <c r="O193" s="2" t="s">
        <v>43</v>
      </c>
      <c r="P193" s="2" t="s">
        <v>44</v>
      </c>
      <c r="Q193" s="2"/>
      <c r="R193" s="3" t="s">
        <v>308</v>
      </c>
      <c r="S193" s="3" t="s">
        <v>309</v>
      </c>
      <c r="T193" s="2"/>
      <c r="U193" s="3"/>
      <c r="V193" s="3"/>
      <c r="W193" s="3"/>
      <c r="X193" s="3"/>
      <c r="Y193" s="3" t="str">
        <f>IF(AND(U193&lt;&gt;"",V193&lt;&gt;""),U193*V193,"")</f>
        <v/>
      </c>
      <c r="Z193" s="6"/>
      <c r="AA193" s="6"/>
      <c r="AB193" s="6"/>
      <c r="AC193" s="4"/>
      <c r="AD193" s="4"/>
      <c r="AE193" s="4"/>
      <c r="AF193" s="2"/>
    </row>
    <row r="194" spans="1:32" ht="16" x14ac:dyDescent="0.2">
      <c r="A194" s="3" t="s">
        <v>144</v>
      </c>
      <c r="B194" s="2" t="s">
        <v>310</v>
      </c>
      <c r="C194" s="3">
        <v>2024</v>
      </c>
      <c r="D194" s="3" t="s">
        <v>42</v>
      </c>
      <c r="E194" s="3" t="s">
        <v>50</v>
      </c>
      <c r="F194" s="4">
        <v>101.6</v>
      </c>
      <c r="G194" s="5">
        <v>307</v>
      </c>
      <c r="H194" s="5">
        <v>307</v>
      </c>
      <c r="I194" s="5">
        <f>IF(AND(G194&lt;&gt;"",H194&lt;&gt;""),(G194+H194)/2,"")</f>
        <v>307</v>
      </c>
      <c r="J194" s="4">
        <v>94</v>
      </c>
      <c r="K194" s="4">
        <v>94</v>
      </c>
      <c r="L194" s="4">
        <f>IF(AND(J194&lt;&gt;"",K194&lt;&gt;""),(J194+K194)/2,"")</f>
        <v>94</v>
      </c>
      <c r="M194" s="6">
        <f>IF(L194&lt;&gt;"",L194/33.7,"")</f>
        <v>2.7893175074183976</v>
      </c>
      <c r="N194" s="6">
        <f>IF(AND(I194&lt;&gt;"",F194&lt;&gt;""),I194/F194,"")</f>
        <v>3.0216535433070866</v>
      </c>
      <c r="O194" s="2" t="s">
        <v>43</v>
      </c>
      <c r="P194" s="2" t="s">
        <v>44</v>
      </c>
      <c r="Q194" s="2"/>
      <c r="R194" s="3" t="s">
        <v>308</v>
      </c>
      <c r="S194" s="3" t="s">
        <v>309</v>
      </c>
      <c r="T194" s="2"/>
      <c r="U194" s="3"/>
      <c r="V194" s="3"/>
      <c r="W194" s="3"/>
      <c r="X194" s="3"/>
      <c r="Y194" s="3" t="str">
        <f>IF(AND(U194&lt;&gt;"",V194&lt;&gt;""),U194*V194,"")</f>
        <v/>
      </c>
      <c r="Z194" s="6"/>
      <c r="AA194" s="6"/>
      <c r="AB194" s="6"/>
      <c r="AC194" s="4"/>
      <c r="AD194" s="4"/>
      <c r="AE194" s="4"/>
      <c r="AF194" s="2"/>
    </row>
    <row r="195" spans="1:32" ht="16" x14ac:dyDescent="0.2">
      <c r="A195" s="3" t="s">
        <v>144</v>
      </c>
      <c r="B195" s="2" t="s">
        <v>311</v>
      </c>
      <c r="C195" s="3">
        <v>2024</v>
      </c>
      <c r="D195" s="3" t="s">
        <v>34</v>
      </c>
      <c r="E195" s="3" t="s">
        <v>35</v>
      </c>
      <c r="F195" s="4">
        <v>88</v>
      </c>
      <c r="G195" s="5">
        <v>298</v>
      </c>
      <c r="H195" s="5">
        <v>298</v>
      </c>
      <c r="I195" s="5">
        <f>IF(AND(G195&lt;&gt;"",H195&lt;&gt;""),(G195+H195)/2,"")</f>
        <v>298</v>
      </c>
      <c r="J195" s="4">
        <v>96</v>
      </c>
      <c r="K195" s="4">
        <v>96</v>
      </c>
      <c r="L195" s="4">
        <f>IF(AND(J195&lt;&gt;"",K195&lt;&gt;""),(J195+K195)/2,"")</f>
        <v>96</v>
      </c>
      <c r="M195" s="6">
        <f>IF(L195&lt;&gt;"",L195/33.7,"")</f>
        <v>2.8486646884272995</v>
      </c>
      <c r="N195" s="6">
        <f>IF(AND(I195&lt;&gt;"",F195&lt;&gt;""),I195/F195,"")</f>
        <v>3.3863636363636362</v>
      </c>
      <c r="O195" s="2" t="s">
        <v>43</v>
      </c>
      <c r="P195" s="2" t="s">
        <v>44</v>
      </c>
      <c r="Q195" s="2"/>
      <c r="R195" s="3" t="s">
        <v>295</v>
      </c>
      <c r="S195" s="3" t="s">
        <v>296</v>
      </c>
      <c r="T195" s="2"/>
      <c r="U195" s="3"/>
      <c r="V195" s="3"/>
      <c r="W195" s="3"/>
      <c r="X195" s="3"/>
      <c r="Y195" s="3" t="str">
        <f>IF(AND(U195&lt;&gt;"",V195&lt;&gt;""),U195*V195,"")</f>
        <v/>
      </c>
      <c r="Z195" s="6"/>
      <c r="AA195" s="6"/>
      <c r="AB195" s="6"/>
      <c r="AC195" s="4"/>
      <c r="AD195" s="4"/>
      <c r="AE195" s="4"/>
      <c r="AF195" s="2"/>
    </row>
    <row r="196" spans="1:32" ht="16" x14ac:dyDescent="0.2">
      <c r="A196" s="3" t="s">
        <v>144</v>
      </c>
      <c r="B196" s="2" t="s">
        <v>312</v>
      </c>
      <c r="C196" s="3">
        <v>2024</v>
      </c>
      <c r="D196" s="3" t="s">
        <v>42</v>
      </c>
      <c r="E196" s="3" t="s">
        <v>35</v>
      </c>
      <c r="F196" s="4">
        <v>95.7</v>
      </c>
      <c r="G196" s="5">
        <v>282</v>
      </c>
      <c r="H196" s="5">
        <v>282</v>
      </c>
      <c r="I196" s="5">
        <f>IF(AND(G196&lt;&gt;"",H196&lt;&gt;""),(G196+H196)/2,"")</f>
        <v>282</v>
      </c>
      <c r="J196" s="4">
        <v>86</v>
      </c>
      <c r="K196" s="4">
        <v>86</v>
      </c>
      <c r="L196" s="4">
        <f>IF(AND(J196&lt;&gt;"",K196&lt;&gt;""),(J196+K196)/2,"")</f>
        <v>86</v>
      </c>
      <c r="M196" s="6">
        <f>IF(L196&lt;&gt;"",L196/33.7,"")</f>
        <v>2.5519287833827891</v>
      </c>
      <c r="N196" s="6">
        <f>IF(AND(I196&lt;&gt;"",F196&lt;&gt;""),I196/F196,"")</f>
        <v>2.9467084639498431</v>
      </c>
      <c r="O196" s="2" t="s">
        <v>43</v>
      </c>
      <c r="P196" s="2" t="s">
        <v>44</v>
      </c>
      <c r="Q196" s="2"/>
      <c r="R196" s="3" t="s">
        <v>308</v>
      </c>
      <c r="S196" s="3" t="s">
        <v>309</v>
      </c>
      <c r="T196" s="2"/>
      <c r="U196" s="3"/>
      <c r="V196" s="3"/>
      <c r="W196" s="3"/>
      <c r="X196" s="3"/>
      <c r="Y196" s="3" t="str">
        <f>IF(AND(U196&lt;&gt;"",V196&lt;&gt;""),U196*V196,"")</f>
        <v/>
      </c>
      <c r="Z196" s="6"/>
      <c r="AA196" s="6"/>
      <c r="AB196" s="6"/>
      <c r="AC196" s="4"/>
      <c r="AD196" s="4"/>
      <c r="AE196" s="4"/>
      <c r="AF196" s="2"/>
    </row>
    <row r="197" spans="1:32" ht="16" x14ac:dyDescent="0.2">
      <c r="A197" s="3" t="s">
        <v>144</v>
      </c>
      <c r="B197" s="2" t="s">
        <v>313</v>
      </c>
      <c r="C197" s="3">
        <v>2024</v>
      </c>
      <c r="D197" s="3" t="s">
        <v>34</v>
      </c>
      <c r="E197" s="3" t="s">
        <v>50</v>
      </c>
      <c r="F197" s="4">
        <v>111</v>
      </c>
      <c r="G197" s="5">
        <v>352</v>
      </c>
      <c r="H197" s="5">
        <v>352</v>
      </c>
      <c r="I197" s="5">
        <f>IF(AND(G197&lt;&gt;"",H197&lt;&gt;""),(G197+H197)/2,"")</f>
        <v>352</v>
      </c>
      <c r="J197" s="4">
        <v>96</v>
      </c>
      <c r="K197" s="4">
        <v>96</v>
      </c>
      <c r="L197" s="4">
        <f>IF(AND(J197&lt;&gt;"",K197&lt;&gt;""),(J197+K197)/2,"")</f>
        <v>96</v>
      </c>
      <c r="M197" s="6">
        <f>IF(L197&lt;&gt;"",L197/33.7,"")</f>
        <v>2.8486646884272995</v>
      </c>
      <c r="N197" s="6">
        <f>IF(AND(I197&lt;&gt;"",F197&lt;&gt;""),I197/F197,"")</f>
        <v>3.1711711711711712</v>
      </c>
      <c r="O197" s="2" t="s">
        <v>43</v>
      </c>
      <c r="P197" s="2" t="s">
        <v>44</v>
      </c>
      <c r="Q197" s="2"/>
      <c r="R197" s="3" t="s">
        <v>146</v>
      </c>
      <c r="S197" s="3" t="s">
        <v>314</v>
      </c>
      <c r="T197" s="2"/>
      <c r="U197" s="3"/>
      <c r="V197" s="3"/>
      <c r="W197" s="3"/>
      <c r="X197" s="3"/>
      <c r="Y197" s="3" t="str">
        <f>IF(AND(U197&lt;&gt;"",V197&lt;&gt;""),U197*V197,"")</f>
        <v/>
      </c>
      <c r="Z197" s="6"/>
      <c r="AA197" s="6"/>
      <c r="AB197" s="6"/>
      <c r="AC197" s="4"/>
      <c r="AD197" s="4"/>
      <c r="AE197" s="4"/>
      <c r="AF197" s="2"/>
    </row>
    <row r="198" spans="1:32" ht="16" x14ac:dyDescent="0.2">
      <c r="A198" s="3" t="s">
        <v>144</v>
      </c>
      <c r="B198" s="2" t="s">
        <v>145</v>
      </c>
      <c r="C198" s="3">
        <v>2024</v>
      </c>
      <c r="D198" s="3" t="s">
        <v>34</v>
      </c>
      <c r="E198" s="3" t="s">
        <v>35</v>
      </c>
      <c r="F198" s="4">
        <v>107</v>
      </c>
      <c r="G198" s="5">
        <v>345</v>
      </c>
      <c r="H198" s="5">
        <v>345</v>
      </c>
      <c r="I198" s="5">
        <f>IF(AND(G198&lt;&gt;"",H198&lt;&gt;""),(G198+H198)/2,"")</f>
        <v>345</v>
      </c>
      <c r="J198" s="4">
        <v>95</v>
      </c>
      <c r="K198" s="4">
        <v>95</v>
      </c>
      <c r="L198" s="4">
        <f>IF(AND(J198&lt;&gt;"",K198&lt;&gt;""),(J198+K198)/2,"")</f>
        <v>95</v>
      </c>
      <c r="M198" s="6">
        <f>IF(L198&lt;&gt;"",L198/33.7,"")</f>
        <v>2.8189910979228485</v>
      </c>
      <c r="N198" s="6">
        <f>IF(AND(I198&lt;&gt;"",F198&lt;&gt;""),I198/F198,"")</f>
        <v>3.2242990654205608</v>
      </c>
      <c r="O198" s="2" t="s">
        <v>43</v>
      </c>
      <c r="P198" s="2" t="s">
        <v>44</v>
      </c>
      <c r="Q198" s="2"/>
      <c r="R198" s="3" t="s">
        <v>146</v>
      </c>
      <c r="S198" s="3" t="s">
        <v>314</v>
      </c>
      <c r="T198" s="2"/>
      <c r="U198" s="3"/>
      <c r="V198" s="3"/>
      <c r="W198" s="3"/>
      <c r="X198" s="3"/>
      <c r="Y198" s="3" t="str">
        <f>IF(AND(U198&lt;&gt;"",V198&lt;&gt;""),U198*V198,"")</f>
        <v/>
      </c>
      <c r="Z198" s="6"/>
      <c r="AA198" s="6"/>
      <c r="AB198" s="6"/>
      <c r="AC198" s="4"/>
      <c r="AD198" s="4"/>
      <c r="AE198" s="4"/>
      <c r="AF198" s="2"/>
    </row>
    <row r="199" spans="1:32" ht="16" x14ac:dyDescent="0.2">
      <c r="A199" s="3" t="s">
        <v>144</v>
      </c>
      <c r="B199" s="2" t="s">
        <v>315</v>
      </c>
      <c r="C199" s="3">
        <v>2024</v>
      </c>
      <c r="D199" s="3" t="s">
        <v>42</v>
      </c>
      <c r="E199" s="3" t="s">
        <v>35</v>
      </c>
      <c r="F199" s="4">
        <v>122</v>
      </c>
      <c r="G199" s="5">
        <v>330</v>
      </c>
      <c r="H199" s="5">
        <v>330</v>
      </c>
      <c r="I199" s="5">
        <f>IF(AND(G199&lt;&gt;"",H199&lt;&gt;""),(G199+H199)/2,"")</f>
        <v>330</v>
      </c>
      <c r="J199" s="4">
        <v>83</v>
      </c>
      <c r="K199" s="4">
        <v>83</v>
      </c>
      <c r="L199" s="4">
        <f>IF(AND(J199&lt;&gt;"",K199&lt;&gt;""),(J199+K199)/2,"")</f>
        <v>83</v>
      </c>
      <c r="M199" s="6">
        <f>IF(L199&lt;&gt;"",L199/33.7,"")</f>
        <v>2.4629080118694362</v>
      </c>
      <c r="N199" s="6">
        <f>IF(AND(I199&lt;&gt;"",F199&lt;&gt;""),I199/F199,"")</f>
        <v>2.7049180327868854</v>
      </c>
      <c r="O199" s="2" t="s">
        <v>43</v>
      </c>
      <c r="P199" s="2" t="s">
        <v>44</v>
      </c>
      <c r="Q199" s="2"/>
      <c r="R199" s="3" t="s">
        <v>146</v>
      </c>
      <c r="S199" s="3" t="s">
        <v>316</v>
      </c>
      <c r="T199" s="2"/>
      <c r="U199" s="3"/>
      <c r="V199" s="3"/>
      <c r="W199" s="3"/>
      <c r="X199" s="3"/>
      <c r="Y199" s="3" t="str">
        <f>IF(AND(U199&lt;&gt;"",V199&lt;&gt;""),U199*V199,"")</f>
        <v/>
      </c>
      <c r="Z199" s="6"/>
      <c r="AA199" s="6"/>
      <c r="AB199" s="6"/>
      <c r="AC199" s="4"/>
      <c r="AD199" s="4"/>
      <c r="AE199" s="4"/>
      <c r="AF199" s="2"/>
    </row>
    <row r="200" spans="1:32" ht="16" x14ac:dyDescent="0.2">
      <c r="A200" s="3" t="s">
        <v>144</v>
      </c>
      <c r="B200" s="2" t="s">
        <v>149</v>
      </c>
      <c r="C200" s="3">
        <v>2024</v>
      </c>
      <c r="D200" s="3" t="s">
        <v>42</v>
      </c>
      <c r="E200" s="3" t="s">
        <v>50</v>
      </c>
      <c r="F200" s="4">
        <v>122</v>
      </c>
      <c r="G200" s="5">
        <v>339</v>
      </c>
      <c r="H200" s="5">
        <v>339</v>
      </c>
      <c r="I200" s="5">
        <f>IF(AND(G200&lt;&gt;"",H200&lt;&gt;""),(G200+H200)/2,"")</f>
        <v>339</v>
      </c>
      <c r="J200" s="4">
        <v>86</v>
      </c>
      <c r="K200" s="4">
        <v>86</v>
      </c>
      <c r="L200" s="4">
        <f>IF(AND(J200&lt;&gt;"",K200&lt;&gt;""),(J200+K200)/2,"")</f>
        <v>86</v>
      </c>
      <c r="M200" s="6">
        <f>IF(L200&lt;&gt;"",L200/33.7,"")</f>
        <v>2.5519287833827891</v>
      </c>
      <c r="N200" s="6">
        <f>IF(AND(I200&lt;&gt;"",F200&lt;&gt;""),I200/F200,"")</f>
        <v>2.778688524590164</v>
      </c>
      <c r="O200" s="2" t="s">
        <v>43</v>
      </c>
      <c r="P200" s="2" t="s">
        <v>44</v>
      </c>
      <c r="Q200" s="2"/>
      <c r="R200" s="3" t="s">
        <v>146</v>
      </c>
      <c r="S200" s="3" t="s">
        <v>316</v>
      </c>
      <c r="T200" s="2"/>
      <c r="U200" s="3"/>
      <c r="V200" s="3"/>
      <c r="W200" s="3"/>
      <c r="X200" s="3"/>
      <c r="Y200" s="3" t="str">
        <f>IF(AND(U200&lt;&gt;"",V200&lt;&gt;""),U200*V200,"")</f>
        <v/>
      </c>
      <c r="Z200" s="6"/>
      <c r="AA200" s="6"/>
      <c r="AB200" s="6"/>
      <c r="AC200" s="4"/>
      <c r="AD200" s="4"/>
      <c r="AE200" s="4"/>
      <c r="AF200" s="2"/>
    </row>
    <row r="201" spans="1:32" ht="16" x14ac:dyDescent="0.2">
      <c r="A201" s="3" t="s">
        <v>144</v>
      </c>
      <c r="B201" s="2" t="s">
        <v>317</v>
      </c>
      <c r="C201" s="3">
        <v>2024</v>
      </c>
      <c r="D201" s="3" t="s">
        <v>34</v>
      </c>
      <c r="E201" s="3" t="s">
        <v>35</v>
      </c>
      <c r="F201" s="4">
        <v>107</v>
      </c>
      <c r="G201" s="5">
        <v>345</v>
      </c>
      <c r="H201" s="5">
        <v>345</v>
      </c>
      <c r="I201" s="5">
        <f>IF(AND(G201&lt;&gt;"",H201&lt;&gt;""),(G201+H201)/2,"")</f>
        <v>345</v>
      </c>
      <c r="J201" s="4">
        <v>96</v>
      </c>
      <c r="K201" s="4">
        <v>96</v>
      </c>
      <c r="L201" s="4">
        <f>IF(AND(J201&lt;&gt;"",K201&lt;&gt;""),(J201+K201)/2,"")</f>
        <v>96</v>
      </c>
      <c r="M201" s="6">
        <f>IF(L201&lt;&gt;"",L201/33.7,"")</f>
        <v>2.8486646884272995</v>
      </c>
      <c r="N201" s="6">
        <f>IF(AND(I201&lt;&gt;"",F201&lt;&gt;""),I201/F201,"")</f>
        <v>3.2242990654205608</v>
      </c>
      <c r="O201" s="2" t="s">
        <v>43</v>
      </c>
      <c r="P201" s="2" t="s">
        <v>44</v>
      </c>
      <c r="Q201" s="2"/>
      <c r="R201" s="3" t="s">
        <v>146</v>
      </c>
      <c r="S201" s="3" t="s">
        <v>314</v>
      </c>
      <c r="T201" s="2"/>
      <c r="U201" s="3"/>
      <c r="V201" s="3"/>
      <c r="W201" s="3"/>
      <c r="X201" s="3"/>
      <c r="Y201" s="3" t="str">
        <f>IF(AND(U201&lt;&gt;"",V201&lt;&gt;""),U201*V201,"")</f>
        <v/>
      </c>
      <c r="Z201" s="6"/>
      <c r="AA201" s="6"/>
      <c r="AB201" s="6"/>
      <c r="AC201" s="4"/>
      <c r="AD201" s="4"/>
      <c r="AE201" s="4"/>
      <c r="AF201" s="2"/>
    </row>
    <row r="202" spans="1:32" ht="16" x14ac:dyDescent="0.2">
      <c r="A202" s="3" t="s">
        <v>144</v>
      </c>
      <c r="B202" s="2" t="s">
        <v>318</v>
      </c>
      <c r="C202" s="3">
        <v>2024</v>
      </c>
      <c r="D202" s="3" t="s">
        <v>42</v>
      </c>
      <c r="E202" s="3" t="s">
        <v>35</v>
      </c>
      <c r="F202" s="4">
        <v>122</v>
      </c>
      <c r="G202" s="5">
        <v>321</v>
      </c>
      <c r="H202" s="5">
        <v>321</v>
      </c>
      <c r="I202" s="5">
        <f>IF(AND(G202&lt;&gt;"",H202&lt;&gt;""),(G202+H202)/2,"")</f>
        <v>321</v>
      </c>
      <c r="J202" s="4">
        <v>81</v>
      </c>
      <c r="K202" s="4">
        <v>81</v>
      </c>
      <c r="L202" s="4">
        <f>IF(AND(J202&lt;&gt;"",K202&lt;&gt;""),(J202+K202)/2,"")</f>
        <v>81</v>
      </c>
      <c r="M202" s="6">
        <f>IF(L202&lt;&gt;"",L202/33.7,"")</f>
        <v>2.4035608308605338</v>
      </c>
      <c r="N202" s="6">
        <f>IF(AND(I202&lt;&gt;"",F202&lt;&gt;""),I202/F202,"")</f>
        <v>2.6311475409836067</v>
      </c>
      <c r="O202" s="2" t="s">
        <v>43</v>
      </c>
      <c r="P202" s="2" t="s">
        <v>44</v>
      </c>
      <c r="Q202" s="2"/>
      <c r="R202" s="3" t="s">
        <v>146</v>
      </c>
      <c r="S202" s="3" t="s">
        <v>316</v>
      </c>
      <c r="T202" s="2"/>
      <c r="U202" s="3"/>
      <c r="V202" s="3"/>
      <c r="W202" s="3"/>
      <c r="X202" s="3"/>
      <c r="Y202" s="3" t="str">
        <f>IF(AND(U202&lt;&gt;"",V202&lt;&gt;""),U202*V202,"")</f>
        <v/>
      </c>
      <c r="Z202" s="6"/>
      <c r="AA202" s="6"/>
      <c r="AB202" s="6"/>
      <c r="AC202" s="4"/>
      <c r="AD202" s="4"/>
      <c r="AE202" s="4"/>
      <c r="AF202" s="2"/>
    </row>
    <row r="203" spans="1:32" ht="16" x14ac:dyDescent="0.2">
      <c r="A203" s="3" t="s">
        <v>144</v>
      </c>
      <c r="B203" s="2" t="s">
        <v>318</v>
      </c>
      <c r="C203" s="3">
        <v>2024</v>
      </c>
      <c r="D203" s="3" t="s">
        <v>42</v>
      </c>
      <c r="E203" s="3" t="s">
        <v>35</v>
      </c>
      <c r="F203" s="4">
        <v>111</v>
      </c>
      <c r="G203" s="5">
        <v>280</v>
      </c>
      <c r="H203" s="5">
        <v>280</v>
      </c>
      <c r="I203" s="5">
        <f>IF(AND(G203&lt;&gt;"",H203&lt;&gt;""),(G203+H203)/2,"")</f>
        <v>280</v>
      </c>
      <c r="J203" s="4">
        <v>76</v>
      </c>
      <c r="K203" s="4">
        <v>76</v>
      </c>
      <c r="L203" s="4">
        <f>IF(AND(J203&lt;&gt;"",K203&lt;&gt;""),(J203+K203)/2,"")</f>
        <v>76</v>
      </c>
      <c r="M203" s="6">
        <f>IF(L203&lt;&gt;"",L203/33.7,"")</f>
        <v>2.2551928783382786</v>
      </c>
      <c r="N203" s="6">
        <f>IF(AND(I203&lt;&gt;"",F203&lt;&gt;""),I203/F203,"")</f>
        <v>2.5225225225225225</v>
      </c>
      <c r="O203" s="2" t="s">
        <v>43</v>
      </c>
      <c r="P203" s="2" t="s">
        <v>44</v>
      </c>
      <c r="Q203" s="2"/>
      <c r="R203" s="3" t="s">
        <v>146</v>
      </c>
      <c r="S203" s="3" t="s">
        <v>314</v>
      </c>
      <c r="T203" s="2"/>
      <c r="U203" s="3"/>
      <c r="V203" s="3"/>
      <c r="W203" s="3"/>
      <c r="X203" s="3"/>
      <c r="Y203" s="3" t="str">
        <f>IF(AND(U203&lt;&gt;"",V203&lt;&gt;""),U203*V203,"")</f>
        <v/>
      </c>
      <c r="Z203" s="6"/>
      <c r="AA203" s="6"/>
      <c r="AB203" s="6"/>
      <c r="AC203" s="4"/>
      <c r="AD203" s="4"/>
      <c r="AE203" s="4"/>
      <c r="AF203" s="2"/>
    </row>
    <row r="204" spans="1:32" ht="16" x14ac:dyDescent="0.2">
      <c r="A204" s="3" t="s">
        <v>151</v>
      </c>
      <c r="B204" s="2" t="s">
        <v>152</v>
      </c>
      <c r="C204" s="3">
        <v>2024</v>
      </c>
      <c r="D204" s="3" t="s">
        <v>34</v>
      </c>
      <c r="E204" s="3" t="s">
        <v>74</v>
      </c>
      <c r="F204" s="4">
        <v>32</v>
      </c>
      <c r="G204" s="5">
        <v>114</v>
      </c>
      <c r="H204" s="5">
        <v>114</v>
      </c>
      <c r="I204" s="5">
        <f>IF(AND(G204&lt;&gt;"",H204&lt;&gt;""),(G204+H204)/2,"")</f>
        <v>114</v>
      </c>
      <c r="J204" s="4">
        <v>110</v>
      </c>
      <c r="K204" s="4">
        <v>110</v>
      </c>
      <c r="L204" s="4">
        <f>IF(AND(J204&lt;&gt;"",K204&lt;&gt;""),(J204+K204)/2,"")</f>
        <v>110</v>
      </c>
      <c r="M204" s="6">
        <f>IF(L204&lt;&gt;"",L204/33.7,"")</f>
        <v>3.2640949554896141</v>
      </c>
      <c r="N204" s="6">
        <f>IF(AND(I204&lt;&gt;"",F204&lt;&gt;""),I204/F204,"")</f>
        <v>3.5625</v>
      </c>
      <c r="O204" s="2" t="s">
        <v>43</v>
      </c>
      <c r="P204" s="2" t="s">
        <v>44</v>
      </c>
      <c r="Q204" s="2"/>
      <c r="R204" s="3" t="s">
        <v>153</v>
      </c>
      <c r="S204" s="3" t="s">
        <v>319</v>
      </c>
      <c r="T204" s="2"/>
      <c r="U204" s="3"/>
      <c r="V204" s="3"/>
      <c r="W204" s="3"/>
      <c r="X204" s="3"/>
      <c r="Y204" s="3" t="str">
        <f>IF(AND(U204&lt;&gt;"",V204&lt;&gt;""),U204*V204,"")</f>
        <v/>
      </c>
      <c r="Z204" s="6"/>
      <c r="AA204" s="6"/>
      <c r="AB204" s="6"/>
      <c r="AC204" s="4"/>
      <c r="AD204" s="4"/>
      <c r="AE204" s="4"/>
      <c r="AF204" s="2"/>
    </row>
    <row r="205" spans="1:32" ht="16" x14ac:dyDescent="0.2">
      <c r="A205" s="3" t="s">
        <v>155</v>
      </c>
      <c r="B205" s="2" t="s">
        <v>320</v>
      </c>
      <c r="C205" s="3">
        <v>2024</v>
      </c>
      <c r="D205" s="3" t="s">
        <v>34</v>
      </c>
      <c r="E205" s="3" t="s">
        <v>35</v>
      </c>
      <c r="F205" s="4">
        <v>65.8</v>
      </c>
      <c r="G205" s="5">
        <v>205</v>
      </c>
      <c r="H205" s="5">
        <v>205</v>
      </c>
      <c r="I205" s="5">
        <f>IF(AND(G205&lt;&gt;"",H205&lt;&gt;""),(G205+H205)/2,"")</f>
        <v>205</v>
      </c>
      <c r="J205" s="4">
        <v>95</v>
      </c>
      <c r="K205" s="4">
        <v>95</v>
      </c>
      <c r="L205" s="4">
        <f>IF(AND(J205&lt;&gt;"",K205&lt;&gt;""),(J205+K205)/2,"")</f>
        <v>95</v>
      </c>
      <c r="M205" s="6">
        <f>IF(L205&lt;&gt;"",L205/33.7,"")</f>
        <v>2.8189910979228485</v>
      </c>
      <c r="N205" s="6">
        <f>IF(AND(I205&lt;&gt;"",F205&lt;&gt;""),I205/F205,"")</f>
        <v>3.115501519756839</v>
      </c>
      <c r="O205" s="2" t="s">
        <v>43</v>
      </c>
      <c r="P205" s="2" t="s">
        <v>44</v>
      </c>
      <c r="Q205" s="2"/>
      <c r="R205" s="3" t="s">
        <v>157</v>
      </c>
      <c r="S205" s="3" t="s">
        <v>158</v>
      </c>
      <c r="T205" s="2"/>
      <c r="U205" s="3"/>
      <c r="V205" s="3"/>
      <c r="W205" s="3"/>
      <c r="X205" s="3"/>
      <c r="Y205" s="3" t="str">
        <f>IF(AND(U205&lt;&gt;"",V205&lt;&gt;""),U205*V205,"")</f>
        <v/>
      </c>
      <c r="Z205" s="6"/>
      <c r="AA205" s="6"/>
      <c r="AB205" s="6"/>
      <c r="AC205" s="4"/>
      <c r="AD205" s="4"/>
      <c r="AE205" s="4"/>
      <c r="AF205" s="2"/>
    </row>
    <row r="206" spans="1:32" ht="16" x14ac:dyDescent="0.2">
      <c r="A206" s="3" t="s">
        <v>155</v>
      </c>
      <c r="B206" s="2" t="s">
        <v>321</v>
      </c>
      <c r="C206" s="3">
        <v>2024</v>
      </c>
      <c r="D206" s="3" t="s">
        <v>34</v>
      </c>
      <c r="E206" s="3" t="s">
        <v>35</v>
      </c>
      <c r="F206" s="4">
        <v>90.8</v>
      </c>
      <c r="G206" s="5">
        <v>272</v>
      </c>
      <c r="H206" s="5">
        <v>272</v>
      </c>
      <c r="I206" s="5">
        <f>IF(AND(G206&lt;&gt;"",H206&lt;&gt;""),(G206+H206)/2,"")</f>
        <v>272</v>
      </c>
      <c r="J206" s="4">
        <v>92</v>
      </c>
      <c r="K206" s="4">
        <v>92</v>
      </c>
      <c r="L206" s="4">
        <f>IF(AND(J206&lt;&gt;"",K206&lt;&gt;""),(J206+K206)/2,"")</f>
        <v>92</v>
      </c>
      <c r="M206" s="6">
        <f>IF(L206&lt;&gt;"",L206/33.7,"")</f>
        <v>2.7299703264094952</v>
      </c>
      <c r="N206" s="6">
        <f>IF(AND(I206&lt;&gt;"",F206&lt;&gt;""),I206/F206,"")</f>
        <v>2.9955947136563879</v>
      </c>
      <c r="O206" s="2" t="s">
        <v>43</v>
      </c>
      <c r="P206" s="2" t="s">
        <v>44</v>
      </c>
      <c r="Q206" s="2"/>
      <c r="R206" s="3" t="s">
        <v>157</v>
      </c>
      <c r="S206" s="3" t="s">
        <v>158</v>
      </c>
      <c r="T206" s="2"/>
      <c r="U206" s="3"/>
      <c r="V206" s="3"/>
      <c r="W206" s="3"/>
      <c r="X206" s="3"/>
      <c r="Y206" s="3" t="str">
        <f>IF(AND(U206&lt;&gt;"",V206&lt;&gt;""),U206*V206,"")</f>
        <v/>
      </c>
      <c r="Z206" s="6"/>
      <c r="AA206" s="6"/>
      <c r="AB206" s="6"/>
      <c r="AC206" s="4"/>
      <c r="AD206" s="4"/>
      <c r="AE206" s="4"/>
      <c r="AF206" s="2"/>
    </row>
    <row r="207" spans="1:32" ht="16" x14ac:dyDescent="0.2">
      <c r="A207" s="3" t="s">
        <v>155</v>
      </c>
      <c r="B207" s="2" t="s">
        <v>159</v>
      </c>
      <c r="C207" s="3">
        <v>2024</v>
      </c>
      <c r="D207" s="3" t="s">
        <v>34</v>
      </c>
      <c r="E207" s="3" t="s">
        <v>74</v>
      </c>
      <c r="F207" s="4">
        <v>65.8</v>
      </c>
      <c r="G207" s="5">
        <v>216</v>
      </c>
      <c r="H207" s="5">
        <v>216</v>
      </c>
      <c r="I207" s="5">
        <f>IF(AND(G207&lt;&gt;"",H207&lt;&gt;""),(G207+H207)/2,"")</f>
        <v>216</v>
      </c>
      <c r="J207" s="4">
        <v>101</v>
      </c>
      <c r="K207" s="4">
        <v>101</v>
      </c>
      <c r="L207" s="4">
        <f>IF(AND(J207&lt;&gt;"",K207&lt;&gt;""),(J207+K207)/2,"")</f>
        <v>101</v>
      </c>
      <c r="M207" s="6">
        <f>IF(L207&lt;&gt;"",L207/33.7,"")</f>
        <v>2.9970326409495547</v>
      </c>
      <c r="N207" s="6">
        <f>IF(AND(I207&lt;&gt;"",F207&lt;&gt;""),I207/F207,"")</f>
        <v>3.2826747720364744</v>
      </c>
      <c r="O207" s="2" t="s">
        <v>43</v>
      </c>
      <c r="P207" s="2" t="s">
        <v>44</v>
      </c>
      <c r="Q207" s="2"/>
      <c r="R207" s="3" t="s">
        <v>157</v>
      </c>
      <c r="S207" s="3" t="s">
        <v>158</v>
      </c>
      <c r="T207" s="2"/>
      <c r="U207" s="3"/>
      <c r="V207" s="3"/>
      <c r="W207" s="3"/>
      <c r="X207" s="3"/>
      <c r="Y207" s="3" t="str">
        <f>IF(AND(U207&lt;&gt;"",V207&lt;&gt;""),U207*V207,"")</f>
        <v/>
      </c>
      <c r="Z207" s="6"/>
      <c r="AA207" s="6"/>
      <c r="AB207" s="6"/>
      <c r="AC207" s="4"/>
      <c r="AD207" s="4"/>
      <c r="AE207" s="4"/>
      <c r="AF207" s="2"/>
    </row>
    <row r="208" spans="1:32" ht="32" x14ac:dyDescent="0.2">
      <c r="A208" s="3" t="s">
        <v>155</v>
      </c>
      <c r="B208" s="2" t="s">
        <v>322</v>
      </c>
      <c r="C208" s="3">
        <v>2024</v>
      </c>
      <c r="D208" s="3" t="s">
        <v>34</v>
      </c>
      <c r="E208" s="3" t="s">
        <v>74</v>
      </c>
      <c r="F208" s="4">
        <v>90.8</v>
      </c>
      <c r="G208" s="5">
        <v>289</v>
      </c>
      <c r="H208" s="5">
        <v>304</v>
      </c>
      <c r="I208" s="5">
        <f>IF(AND(G208&lt;&gt;"",H208&lt;&gt;""),(G208+H208)/2,"")</f>
        <v>296.5</v>
      </c>
      <c r="J208" s="4">
        <v>98</v>
      </c>
      <c r="K208" s="4">
        <v>103</v>
      </c>
      <c r="L208" s="4">
        <f>IF(AND(J208&lt;&gt;"",K208&lt;&gt;""),(J208+K208)/2,"")</f>
        <v>100.5</v>
      </c>
      <c r="M208" s="6">
        <f>IF(L208&lt;&gt;"",L208/33.7,"")</f>
        <v>2.982195845697329</v>
      </c>
      <c r="N208" s="6">
        <f>IF(AND(I208&lt;&gt;"",F208&lt;&gt;""),I208/F208,"")</f>
        <v>3.2654185022026434</v>
      </c>
      <c r="O208" s="2" t="s">
        <v>43</v>
      </c>
      <c r="P208" s="2" t="s">
        <v>44</v>
      </c>
      <c r="Q208" s="2"/>
      <c r="R208" s="3" t="s">
        <v>157</v>
      </c>
      <c r="S208" s="3" t="s">
        <v>158</v>
      </c>
      <c r="T208" s="2"/>
      <c r="U208" s="3"/>
      <c r="V208" s="3"/>
      <c r="W208" s="3"/>
      <c r="X208" s="3"/>
      <c r="Y208" s="3" t="str">
        <f>IF(AND(U208&lt;&gt;"",V208&lt;&gt;""),U208*V208,"")</f>
        <v/>
      </c>
      <c r="Z208" s="6"/>
      <c r="AA208" s="6"/>
      <c r="AB208" s="6"/>
      <c r="AC208" s="4"/>
      <c r="AD208" s="4"/>
      <c r="AE208" s="4"/>
      <c r="AF208" s="2"/>
    </row>
    <row r="209" spans="1:32" ht="16" x14ac:dyDescent="0.2">
      <c r="A209" s="3" t="s">
        <v>155</v>
      </c>
      <c r="B209" s="2" t="s">
        <v>323</v>
      </c>
      <c r="C209" s="3">
        <v>2024</v>
      </c>
      <c r="D209" s="3" t="s">
        <v>34</v>
      </c>
      <c r="E209" s="3" t="s">
        <v>35</v>
      </c>
      <c r="F209" s="4">
        <v>90.8</v>
      </c>
      <c r="G209" s="5">
        <v>257</v>
      </c>
      <c r="H209" s="5">
        <v>267</v>
      </c>
      <c r="I209" s="5">
        <f>IF(AND(G209&lt;&gt;"",H209&lt;&gt;""),(G209+H209)/2,"")</f>
        <v>262</v>
      </c>
      <c r="J209" s="4">
        <v>87</v>
      </c>
      <c r="K209" s="4">
        <v>90</v>
      </c>
      <c r="L209" s="4">
        <f>IF(AND(J209&lt;&gt;"",K209&lt;&gt;""),(J209+K209)/2,"")</f>
        <v>88.5</v>
      </c>
      <c r="M209" s="6">
        <f>IF(L209&lt;&gt;"",L209/33.7,"")</f>
        <v>2.6261127596439167</v>
      </c>
      <c r="N209" s="6">
        <f>IF(AND(I209&lt;&gt;"",F209&lt;&gt;""),I209/F209,"")</f>
        <v>2.8854625550660793</v>
      </c>
      <c r="O209" s="2" t="s">
        <v>43</v>
      </c>
      <c r="P209" s="2" t="s">
        <v>44</v>
      </c>
      <c r="Q209" s="2"/>
      <c r="R209" s="3" t="s">
        <v>157</v>
      </c>
      <c r="S209" s="3" t="s">
        <v>158</v>
      </c>
      <c r="T209" s="2"/>
      <c r="U209" s="3"/>
      <c r="V209" s="3"/>
      <c r="W209" s="3"/>
      <c r="X209" s="3"/>
      <c r="Y209" s="3" t="str">
        <f>IF(AND(U209&lt;&gt;"",V209&lt;&gt;""),U209*V209,"")</f>
        <v/>
      </c>
      <c r="Z209" s="6"/>
      <c r="AA209" s="6"/>
      <c r="AB209" s="6"/>
      <c r="AC209" s="4"/>
      <c r="AD209" s="4"/>
      <c r="AE209" s="4"/>
      <c r="AF209" s="2"/>
    </row>
    <row r="210" spans="1:32" ht="16" x14ac:dyDescent="0.2">
      <c r="A210" s="3" t="s">
        <v>155</v>
      </c>
      <c r="B210" s="2" t="s">
        <v>162</v>
      </c>
      <c r="C210" s="3">
        <v>2024</v>
      </c>
      <c r="D210" s="3" t="s">
        <v>34</v>
      </c>
      <c r="E210" s="3" t="s">
        <v>74</v>
      </c>
      <c r="F210" s="4">
        <v>40</v>
      </c>
      <c r="G210" s="5">
        <v>149</v>
      </c>
      <c r="H210" s="5">
        <v>149</v>
      </c>
      <c r="I210" s="5">
        <f>IF(AND(G210&lt;&gt;"",H210&lt;&gt;""),(G210+H210)/2,"")</f>
        <v>149</v>
      </c>
      <c r="J210" s="4">
        <v>111</v>
      </c>
      <c r="K210" s="4">
        <v>111</v>
      </c>
      <c r="L210" s="4">
        <f>IF(AND(J210&lt;&gt;"",K210&lt;&gt;""),(J210+K210)/2,"")</f>
        <v>111</v>
      </c>
      <c r="M210" s="6">
        <f>IF(L210&lt;&gt;"",L210/33.7,"")</f>
        <v>3.2937685459940651</v>
      </c>
      <c r="N210" s="6">
        <f>IF(AND(I210&lt;&gt;"",F210&lt;&gt;""),I210/F210,"")</f>
        <v>3.7250000000000001</v>
      </c>
      <c r="O210" s="2" t="s">
        <v>43</v>
      </c>
      <c r="P210" s="2" t="s">
        <v>44</v>
      </c>
      <c r="Q210" s="2"/>
      <c r="R210" s="3" t="s">
        <v>163</v>
      </c>
      <c r="S210" s="3" t="s">
        <v>164</v>
      </c>
      <c r="T210" s="2"/>
      <c r="U210" s="3"/>
      <c r="V210" s="3"/>
      <c r="W210" s="3"/>
      <c r="X210" s="3"/>
      <c r="Y210" s="3" t="str">
        <f>IF(AND(U210&lt;&gt;"",V210&lt;&gt;""),U210*V210,"")</f>
        <v/>
      </c>
      <c r="Z210" s="6"/>
      <c r="AA210" s="6"/>
      <c r="AB210" s="6"/>
      <c r="AC210" s="4"/>
      <c r="AD210" s="4"/>
      <c r="AE210" s="4"/>
      <c r="AF210" s="2"/>
    </row>
    <row r="211" spans="1:32" ht="16" x14ac:dyDescent="0.2">
      <c r="A211" s="3" t="s">
        <v>155</v>
      </c>
      <c r="B211" s="2" t="s">
        <v>165</v>
      </c>
      <c r="C211" s="3">
        <v>2024</v>
      </c>
      <c r="D211" s="3" t="s">
        <v>34</v>
      </c>
      <c r="E211" s="3" t="s">
        <v>74</v>
      </c>
      <c r="F211" s="4">
        <v>60</v>
      </c>
      <c r="G211" s="5">
        <v>212</v>
      </c>
      <c r="H211" s="5">
        <v>212</v>
      </c>
      <c r="I211" s="5">
        <f>IF(AND(G211&lt;&gt;"",H211&lt;&gt;""),(G211+H211)/2,"")</f>
        <v>212</v>
      </c>
      <c r="J211" s="4">
        <v>109</v>
      </c>
      <c r="K211" s="4">
        <v>109</v>
      </c>
      <c r="L211" s="4">
        <f>IF(AND(J211&lt;&gt;"",K211&lt;&gt;""),(J211+K211)/2,"")</f>
        <v>109</v>
      </c>
      <c r="M211" s="6">
        <f>IF(L211&lt;&gt;"",L211/33.7,"")</f>
        <v>3.2344213649851628</v>
      </c>
      <c r="N211" s="6">
        <f>IF(AND(I211&lt;&gt;"",F211&lt;&gt;""),I211/F211,"")</f>
        <v>3.5333333333333332</v>
      </c>
      <c r="O211" s="2" t="s">
        <v>43</v>
      </c>
      <c r="P211" s="2" t="s">
        <v>44</v>
      </c>
      <c r="Q211" s="2"/>
      <c r="R211" s="3" t="s">
        <v>163</v>
      </c>
      <c r="S211" s="3" t="s">
        <v>164</v>
      </c>
      <c r="T211" s="2"/>
      <c r="U211" s="3"/>
      <c r="V211" s="3"/>
      <c r="W211" s="3"/>
      <c r="X211" s="3"/>
      <c r="Y211" s="3" t="str">
        <f>IF(AND(U211&lt;&gt;"",V211&lt;&gt;""),U211*V211,"")</f>
        <v/>
      </c>
      <c r="Z211" s="6"/>
      <c r="AA211" s="6"/>
      <c r="AB211" s="6"/>
      <c r="AC211" s="4"/>
      <c r="AD211" s="4"/>
      <c r="AE211" s="4"/>
      <c r="AF211" s="2"/>
    </row>
    <row r="212" spans="1:32" ht="16" x14ac:dyDescent="0.2">
      <c r="A212" s="3" t="s">
        <v>166</v>
      </c>
      <c r="B212" s="2" t="s">
        <v>169</v>
      </c>
      <c r="C212" s="3">
        <v>2024</v>
      </c>
      <c r="D212" s="3" t="s">
        <v>34</v>
      </c>
      <c r="E212" s="3" t="s">
        <v>35</v>
      </c>
      <c r="F212" s="4">
        <v>77</v>
      </c>
      <c r="G212" s="5">
        <v>266</v>
      </c>
      <c r="H212" s="5">
        <v>276</v>
      </c>
      <c r="I212" s="5">
        <f>IF(AND(G212&lt;&gt;"",H212&lt;&gt;""),(G212+H212)/2,"")</f>
        <v>271</v>
      </c>
      <c r="J212" s="4">
        <v>102</v>
      </c>
      <c r="K212" s="4">
        <v>106</v>
      </c>
      <c r="L212" s="4">
        <f>IF(AND(J212&lt;&gt;"",K212&lt;&gt;""),(J212+K212)/2,"")</f>
        <v>104</v>
      </c>
      <c r="M212" s="6">
        <f>IF(L212&lt;&gt;"",L212/33.7,"")</f>
        <v>3.0860534124629075</v>
      </c>
      <c r="N212" s="6">
        <f>IF(AND(I212&lt;&gt;"",F212&lt;&gt;""),I212/F212,"")</f>
        <v>3.5194805194805197</v>
      </c>
      <c r="O212" s="2" t="s">
        <v>43</v>
      </c>
      <c r="P212" s="2" t="s">
        <v>44</v>
      </c>
      <c r="Q212" s="2"/>
      <c r="R212" s="3" t="s">
        <v>167</v>
      </c>
      <c r="S212" s="3" t="s">
        <v>168</v>
      </c>
      <c r="T212" s="2"/>
      <c r="U212" s="3"/>
      <c r="V212" s="3"/>
      <c r="W212" s="3"/>
      <c r="X212" s="3"/>
      <c r="Y212" s="3" t="str">
        <f>IF(AND(U212&lt;&gt;"",V212&lt;&gt;""),U212*V212,"")</f>
        <v/>
      </c>
      <c r="Z212" s="6"/>
      <c r="AA212" s="6"/>
      <c r="AB212" s="6"/>
      <c r="AC212" s="4"/>
      <c r="AD212" s="4"/>
      <c r="AE212" s="4"/>
      <c r="AF212" s="2"/>
    </row>
    <row r="213" spans="1:32" ht="16" x14ac:dyDescent="0.2">
      <c r="A213" s="3" t="s">
        <v>166</v>
      </c>
      <c r="B213" s="2" t="s">
        <v>324</v>
      </c>
      <c r="C213" s="3">
        <v>2024</v>
      </c>
      <c r="D213" s="3" t="s">
        <v>34</v>
      </c>
      <c r="E213" s="3" t="s">
        <v>35</v>
      </c>
      <c r="F213" s="4">
        <v>77</v>
      </c>
      <c r="G213" s="5">
        <v>247</v>
      </c>
      <c r="H213" s="5">
        <v>247</v>
      </c>
      <c r="I213" s="5">
        <f>IF(AND(G213&lt;&gt;"",H213&lt;&gt;""),(G213+H213)/2,"")</f>
        <v>247</v>
      </c>
      <c r="J213" s="4">
        <v>95</v>
      </c>
      <c r="K213" s="4">
        <v>95</v>
      </c>
      <c r="L213" s="4">
        <f>IF(AND(J213&lt;&gt;"",K213&lt;&gt;""),(J213+K213)/2,"")</f>
        <v>95</v>
      </c>
      <c r="M213" s="6">
        <f>IF(L213&lt;&gt;"",L213/33.7,"")</f>
        <v>2.8189910979228485</v>
      </c>
      <c r="N213" s="6">
        <f>IF(AND(I213&lt;&gt;"",F213&lt;&gt;""),I213/F213,"")</f>
        <v>3.2077922077922079</v>
      </c>
      <c r="O213" s="2" t="s">
        <v>43</v>
      </c>
      <c r="P213" s="2" t="s">
        <v>44</v>
      </c>
      <c r="Q213" s="2"/>
      <c r="R213" s="3" t="s">
        <v>167</v>
      </c>
      <c r="S213" s="3" t="s">
        <v>168</v>
      </c>
      <c r="T213" s="2"/>
      <c r="U213" s="3"/>
      <c r="V213" s="3"/>
      <c r="W213" s="3"/>
      <c r="X213" s="3"/>
      <c r="Y213" s="3" t="str">
        <f>IF(AND(U213&lt;&gt;"",V213&lt;&gt;""),U213*V213,"")</f>
        <v/>
      </c>
      <c r="Z213" s="6"/>
      <c r="AA213" s="6"/>
      <c r="AB213" s="6"/>
      <c r="AC213" s="4"/>
      <c r="AD213" s="4"/>
      <c r="AE213" s="4"/>
      <c r="AF213" s="2"/>
    </row>
    <row r="214" spans="1:32" ht="16" x14ac:dyDescent="0.2">
      <c r="A214" s="3" t="s">
        <v>166</v>
      </c>
      <c r="B214" s="2" t="s">
        <v>325</v>
      </c>
      <c r="C214" s="3">
        <v>2024</v>
      </c>
      <c r="D214" s="3" t="s">
        <v>34</v>
      </c>
      <c r="E214" s="3" t="s">
        <v>50</v>
      </c>
      <c r="F214" s="4">
        <v>81</v>
      </c>
      <c r="G214" s="5">
        <v>307</v>
      </c>
      <c r="H214" s="5">
        <v>320</v>
      </c>
      <c r="I214" s="5">
        <f>IF(AND(G214&lt;&gt;"",H214&lt;&gt;""),(G214+H214)/2,"")</f>
        <v>313.5</v>
      </c>
      <c r="J214" s="4">
        <v>111</v>
      </c>
      <c r="K214" s="4">
        <v>115</v>
      </c>
      <c r="L214" s="4">
        <f>IF(AND(J214&lt;&gt;"",K214&lt;&gt;""),(J214+K214)/2,"")</f>
        <v>113</v>
      </c>
      <c r="M214" s="6">
        <f>IF(L214&lt;&gt;"",L214/33.7,"")</f>
        <v>3.353115727002967</v>
      </c>
      <c r="N214" s="6">
        <f>IF(AND(I214&lt;&gt;"",F214&lt;&gt;""),I214/F214,"")</f>
        <v>3.8703703703703702</v>
      </c>
      <c r="O214" s="2" t="s">
        <v>43</v>
      </c>
      <c r="P214" s="2" t="s">
        <v>44</v>
      </c>
      <c r="Q214" s="2"/>
      <c r="R214" s="3" t="s">
        <v>167</v>
      </c>
      <c r="S214" s="3" t="s">
        <v>168</v>
      </c>
      <c r="T214" s="2"/>
      <c r="U214" s="3"/>
      <c r="V214" s="3"/>
      <c r="W214" s="3"/>
      <c r="X214" s="3"/>
      <c r="Y214" s="3" t="str">
        <f>IF(AND(U214&lt;&gt;"",V214&lt;&gt;""),U214*V214,"")</f>
        <v/>
      </c>
      <c r="Z214" s="6"/>
      <c r="AA214" s="6"/>
      <c r="AB214" s="6"/>
      <c r="AC214" s="4"/>
      <c r="AD214" s="4"/>
      <c r="AE214" s="4"/>
      <c r="AF214" s="2"/>
    </row>
    <row r="215" spans="1:32" ht="80" x14ac:dyDescent="0.2">
      <c r="A215" s="3" t="s">
        <v>170</v>
      </c>
      <c r="B215" s="2" t="s">
        <v>326</v>
      </c>
      <c r="C215" s="3">
        <v>2024</v>
      </c>
      <c r="D215" s="3" t="s">
        <v>42</v>
      </c>
      <c r="E215" s="3" t="s">
        <v>35</v>
      </c>
      <c r="F215" s="4">
        <v>140.1</v>
      </c>
      <c r="G215" s="5">
        <v>288</v>
      </c>
      <c r="H215" s="5">
        <v>308</v>
      </c>
      <c r="I215" s="5">
        <f>IF(AND(G215&lt;&gt;"",H215&lt;&gt;""),(G215+H215)/2,"")</f>
        <v>298</v>
      </c>
      <c r="J215" s="4">
        <v>91</v>
      </c>
      <c r="K215" s="4">
        <v>98</v>
      </c>
      <c r="L215" s="4">
        <f>IF(AND(J215&lt;&gt;"",K215&lt;&gt;""),(J215+K215)/2,"")</f>
        <v>94.5</v>
      </c>
      <c r="M215" s="6">
        <f>IF(L215&lt;&gt;"",L215/33.7,"")</f>
        <v>2.8041543026706228</v>
      </c>
      <c r="N215" s="6">
        <f>IF(AND(I215&lt;&gt;"",F215&lt;&gt;""),I215/F215,"")</f>
        <v>2.1270521056388296</v>
      </c>
      <c r="O215" s="2" t="s">
        <v>36</v>
      </c>
      <c r="P215" s="2" t="s">
        <v>37</v>
      </c>
      <c r="Q215" s="2" t="s">
        <v>172</v>
      </c>
      <c r="R215" s="3" t="s">
        <v>173</v>
      </c>
      <c r="S215" s="3" t="s">
        <v>327</v>
      </c>
      <c r="T215" s="2"/>
      <c r="U215" s="3"/>
      <c r="V215" s="3"/>
      <c r="W215" s="3"/>
      <c r="X215" s="3"/>
      <c r="Y215" s="3" t="str">
        <f>IF(AND(U215&lt;&gt;"",V215&lt;&gt;""),U215*V215,"")</f>
        <v/>
      </c>
      <c r="Z215" s="6"/>
      <c r="AA215" s="6"/>
      <c r="AB215" s="6"/>
      <c r="AC215" s="4"/>
      <c r="AD215" s="4"/>
      <c r="AE215" s="4"/>
      <c r="AF215" s="2"/>
    </row>
    <row r="216" spans="1:32" ht="80" x14ac:dyDescent="0.2">
      <c r="A216" s="3" t="s">
        <v>170</v>
      </c>
      <c r="B216" s="2" t="s">
        <v>328</v>
      </c>
      <c r="C216" s="3">
        <v>2024</v>
      </c>
      <c r="D216" s="3" t="s">
        <v>34</v>
      </c>
      <c r="E216" s="3" t="s">
        <v>35</v>
      </c>
      <c r="F216" s="4">
        <v>109.7</v>
      </c>
      <c r="G216" s="5">
        <v>230</v>
      </c>
      <c r="H216" s="5">
        <v>230</v>
      </c>
      <c r="I216" s="5">
        <f>IF(AND(G216&lt;&gt;"",H216&lt;&gt;""),(G216+H216)/2,"")</f>
        <v>230</v>
      </c>
      <c r="J216" s="4">
        <v>78</v>
      </c>
      <c r="K216" s="4">
        <v>78</v>
      </c>
      <c r="L216" s="4">
        <f>IF(AND(J216&lt;&gt;"",K216&lt;&gt;""),(J216+K216)/2,"")</f>
        <v>78</v>
      </c>
      <c r="M216" s="6">
        <f>IF(L216&lt;&gt;"",L216/33.7,"")</f>
        <v>2.314540059347181</v>
      </c>
      <c r="N216" s="6">
        <f>IF(AND(I216&lt;&gt;"",F216&lt;&gt;""),I216/F216,"")</f>
        <v>2.096627164995442</v>
      </c>
      <c r="O216" s="2" t="s">
        <v>36</v>
      </c>
      <c r="P216" s="2" t="s">
        <v>37</v>
      </c>
      <c r="Q216" s="2" t="s">
        <v>172</v>
      </c>
      <c r="R216" s="3" t="s">
        <v>173</v>
      </c>
      <c r="S216" s="3" t="s">
        <v>174</v>
      </c>
      <c r="T216" s="2" t="s">
        <v>175</v>
      </c>
      <c r="U216" s="3">
        <v>198</v>
      </c>
      <c r="V216" s="3">
        <v>2</v>
      </c>
      <c r="W216" s="3">
        <v>33</v>
      </c>
      <c r="X216" s="3">
        <v>12</v>
      </c>
      <c r="Y216" s="3">
        <f>IF(AND(U216&lt;&gt;"",V216&lt;&gt;""),U216*V216,"")</f>
        <v>396</v>
      </c>
      <c r="Z216" s="6">
        <v>3.6515151515151509</v>
      </c>
      <c r="AA216" s="6">
        <v>4.2</v>
      </c>
      <c r="AB216" s="6"/>
      <c r="AC216" s="4">
        <f>U216*Z216</f>
        <v>722.99999999999989</v>
      </c>
      <c r="AD216" s="4">
        <f>U216*AA216</f>
        <v>831.6</v>
      </c>
      <c r="AE216" s="4"/>
      <c r="AF216" s="2" t="s">
        <v>176</v>
      </c>
    </row>
    <row r="217" spans="1:32" ht="80" x14ac:dyDescent="0.2">
      <c r="A217" s="3" t="s">
        <v>170</v>
      </c>
      <c r="B217" s="2" t="s">
        <v>329</v>
      </c>
      <c r="C217" s="3">
        <v>2024</v>
      </c>
      <c r="D217" s="3" t="s">
        <v>34</v>
      </c>
      <c r="E217" s="3" t="s">
        <v>35</v>
      </c>
      <c r="F217" s="4">
        <v>109</v>
      </c>
      <c r="G217" s="5">
        <v>206</v>
      </c>
      <c r="H217" s="5">
        <v>235</v>
      </c>
      <c r="I217" s="5">
        <f>IF(AND(G217&lt;&gt;"",H217&lt;&gt;""),(G217+H217)/2,"")</f>
        <v>220.5</v>
      </c>
      <c r="J217" s="4">
        <v>80</v>
      </c>
      <c r="K217" s="4">
        <v>82</v>
      </c>
      <c r="L217" s="4">
        <f>IF(AND(J217&lt;&gt;"",K217&lt;&gt;""),(J217+K217)/2,"")</f>
        <v>81</v>
      </c>
      <c r="M217" s="6">
        <f>IF(L217&lt;&gt;"",L217/33.7,"")</f>
        <v>2.4035608308605338</v>
      </c>
      <c r="N217" s="6">
        <f>IF(AND(I217&lt;&gt;"",F217&lt;&gt;""),I217/F217,"")</f>
        <v>2.022935779816514</v>
      </c>
      <c r="O217" s="2" t="s">
        <v>36</v>
      </c>
      <c r="P217" s="2" t="s">
        <v>37</v>
      </c>
      <c r="Q217" s="2" t="s">
        <v>172</v>
      </c>
      <c r="R217" s="3" t="s">
        <v>173</v>
      </c>
      <c r="S217" s="3" t="s">
        <v>174</v>
      </c>
      <c r="T217" s="2" t="s">
        <v>175</v>
      </c>
      <c r="U217" s="3">
        <v>198</v>
      </c>
      <c r="V217" s="3">
        <v>2</v>
      </c>
      <c r="W217" s="3">
        <v>33</v>
      </c>
      <c r="X217" s="3">
        <v>12</v>
      </c>
      <c r="Y217" s="3">
        <f>IF(AND(U217&lt;&gt;"",V217&lt;&gt;""),U217*V217,"")</f>
        <v>396</v>
      </c>
      <c r="Z217" s="6">
        <v>3.6515151515151509</v>
      </c>
      <c r="AA217" s="6">
        <v>4.2</v>
      </c>
      <c r="AB217" s="6"/>
      <c r="AC217" s="4">
        <f>U217*Z217</f>
        <v>722.99999999999989</v>
      </c>
      <c r="AD217" s="4">
        <f>U217*AA217</f>
        <v>831.6</v>
      </c>
      <c r="AE217" s="4"/>
      <c r="AF217" s="2" t="s">
        <v>176</v>
      </c>
    </row>
    <row r="218" spans="1:32" ht="80" x14ac:dyDescent="0.2">
      <c r="A218" s="3" t="s">
        <v>170</v>
      </c>
      <c r="B218" s="2" t="s">
        <v>177</v>
      </c>
      <c r="C218" s="3">
        <v>2024</v>
      </c>
      <c r="D218" s="3" t="s">
        <v>34</v>
      </c>
      <c r="E218" s="3" t="s">
        <v>35</v>
      </c>
      <c r="F218" s="4">
        <v>109</v>
      </c>
      <c r="G218" s="5">
        <v>222</v>
      </c>
      <c r="H218" s="5">
        <v>235</v>
      </c>
      <c r="I218" s="5">
        <f>IF(AND(G218&lt;&gt;"",H218&lt;&gt;""),(G218+H218)/2,"")</f>
        <v>228.5</v>
      </c>
      <c r="J218" s="4">
        <v>75</v>
      </c>
      <c r="K218" s="4">
        <v>80</v>
      </c>
      <c r="L218" s="4">
        <f>IF(AND(J218&lt;&gt;"",K218&lt;&gt;""),(J218+K218)/2,"")</f>
        <v>77.5</v>
      </c>
      <c r="M218" s="6">
        <f>IF(L218&lt;&gt;"",L218/33.7,"")</f>
        <v>2.2997032640949553</v>
      </c>
      <c r="N218" s="6">
        <f>IF(AND(I218&lt;&gt;"",F218&lt;&gt;""),I218/F218,"")</f>
        <v>2.096330275229358</v>
      </c>
      <c r="O218" s="2" t="s">
        <v>36</v>
      </c>
      <c r="P218" s="2" t="s">
        <v>37</v>
      </c>
      <c r="Q218" s="2" t="s">
        <v>172</v>
      </c>
      <c r="R218" s="3" t="s">
        <v>173</v>
      </c>
      <c r="S218" s="3" t="s">
        <v>174</v>
      </c>
      <c r="T218" s="2" t="s">
        <v>175</v>
      </c>
      <c r="U218" s="3">
        <v>198</v>
      </c>
      <c r="V218" s="3">
        <v>2</v>
      </c>
      <c r="W218" s="3">
        <v>33</v>
      </c>
      <c r="X218" s="3">
        <v>12</v>
      </c>
      <c r="Y218" s="3">
        <f>IF(AND(U218&lt;&gt;"",V218&lt;&gt;""),U218*V218,"")</f>
        <v>396</v>
      </c>
      <c r="Z218" s="6">
        <v>3.6515151515151509</v>
      </c>
      <c r="AA218" s="6">
        <v>4.2</v>
      </c>
      <c r="AB218" s="6"/>
      <c r="AC218" s="4">
        <f>U218*Z218</f>
        <v>722.99999999999989</v>
      </c>
      <c r="AD218" s="4">
        <f>U218*AA218</f>
        <v>831.6</v>
      </c>
      <c r="AE218" s="4"/>
      <c r="AF218" s="2" t="s">
        <v>176</v>
      </c>
    </row>
    <row r="219" spans="1:32" ht="80" x14ac:dyDescent="0.2">
      <c r="A219" s="3" t="s">
        <v>170</v>
      </c>
      <c r="B219" s="2" t="s">
        <v>178</v>
      </c>
      <c r="C219" s="3">
        <v>2024</v>
      </c>
      <c r="D219" s="3" t="s">
        <v>34</v>
      </c>
      <c r="E219" s="3" t="s">
        <v>35</v>
      </c>
      <c r="F219" s="4">
        <v>109</v>
      </c>
      <c r="G219" s="5">
        <v>233</v>
      </c>
      <c r="H219" s="5">
        <v>246</v>
      </c>
      <c r="I219" s="5">
        <f>IF(AND(G219&lt;&gt;"",H219&lt;&gt;""),(G219+H219)/2,"")</f>
        <v>239.5</v>
      </c>
      <c r="J219" s="4">
        <v>80</v>
      </c>
      <c r="K219" s="4">
        <v>83</v>
      </c>
      <c r="L219" s="4">
        <f>IF(AND(J219&lt;&gt;"",K219&lt;&gt;""),(J219+K219)/2,"")</f>
        <v>81.5</v>
      </c>
      <c r="M219" s="6">
        <f>IF(L219&lt;&gt;"",L219/33.7,"")</f>
        <v>2.4183976261127595</v>
      </c>
      <c r="N219" s="6">
        <f>IF(AND(I219&lt;&gt;"",F219&lt;&gt;""),I219/F219,"")</f>
        <v>2.1972477064220182</v>
      </c>
      <c r="O219" s="2" t="s">
        <v>36</v>
      </c>
      <c r="P219" s="2" t="s">
        <v>37</v>
      </c>
      <c r="Q219" s="2" t="s">
        <v>172</v>
      </c>
      <c r="R219" s="3" t="s">
        <v>173</v>
      </c>
      <c r="S219" s="3" t="s">
        <v>174</v>
      </c>
      <c r="T219" s="2" t="s">
        <v>175</v>
      </c>
      <c r="U219" s="3">
        <v>198</v>
      </c>
      <c r="V219" s="3">
        <v>2</v>
      </c>
      <c r="W219" s="3">
        <v>33</v>
      </c>
      <c r="X219" s="3">
        <v>12</v>
      </c>
      <c r="Y219" s="3">
        <f>IF(AND(U219&lt;&gt;"",V219&lt;&gt;""),U219*V219,"")</f>
        <v>396</v>
      </c>
      <c r="Z219" s="6">
        <v>3.6515151515151509</v>
      </c>
      <c r="AA219" s="6">
        <v>4.2</v>
      </c>
      <c r="AB219" s="6"/>
      <c r="AC219" s="4">
        <f>U219*Z219</f>
        <v>722.99999999999989</v>
      </c>
      <c r="AD219" s="4">
        <f>U219*AA219</f>
        <v>831.6</v>
      </c>
      <c r="AE219" s="4"/>
      <c r="AF219" s="2" t="s">
        <v>176</v>
      </c>
    </row>
    <row r="220" spans="1:32" ht="80" x14ac:dyDescent="0.2">
      <c r="A220" s="3" t="s">
        <v>170</v>
      </c>
      <c r="B220" s="2" t="s">
        <v>330</v>
      </c>
      <c r="C220" s="3">
        <v>2024</v>
      </c>
      <c r="D220" s="3" t="s">
        <v>34</v>
      </c>
      <c r="E220" s="3" t="s">
        <v>50</v>
      </c>
      <c r="F220" s="4">
        <v>109</v>
      </c>
      <c r="G220" s="5">
        <v>208</v>
      </c>
      <c r="H220" s="5">
        <v>242</v>
      </c>
      <c r="I220" s="5">
        <f>IF(AND(G220&lt;&gt;"",H220&lt;&gt;""),(G220+H220)/2,"")</f>
        <v>225</v>
      </c>
      <c r="J220" s="4">
        <v>82</v>
      </c>
      <c r="K220" s="4">
        <v>83</v>
      </c>
      <c r="L220" s="4">
        <f>IF(AND(J220&lt;&gt;"",K220&lt;&gt;""),(J220+K220)/2,"")</f>
        <v>82.5</v>
      </c>
      <c r="M220" s="6">
        <f>IF(L220&lt;&gt;"",L220/33.7,"")</f>
        <v>2.4480712166172105</v>
      </c>
      <c r="N220" s="6">
        <f>IF(AND(I220&lt;&gt;"",F220&lt;&gt;""),I220/F220,"")</f>
        <v>2.0642201834862384</v>
      </c>
      <c r="O220" s="2" t="s">
        <v>36</v>
      </c>
      <c r="P220" s="2" t="s">
        <v>37</v>
      </c>
      <c r="Q220" s="2" t="s">
        <v>172</v>
      </c>
      <c r="R220" s="3" t="s">
        <v>173</v>
      </c>
      <c r="S220" s="3" t="s">
        <v>174</v>
      </c>
      <c r="T220" s="2" t="s">
        <v>175</v>
      </c>
      <c r="U220" s="3">
        <v>198</v>
      </c>
      <c r="V220" s="3">
        <v>2</v>
      </c>
      <c r="W220" s="3">
        <v>33</v>
      </c>
      <c r="X220" s="3">
        <v>12</v>
      </c>
      <c r="Y220" s="3">
        <f>IF(AND(U220&lt;&gt;"",V220&lt;&gt;""),U220*V220,"")</f>
        <v>396</v>
      </c>
      <c r="Z220" s="6">
        <v>3.6515151515151509</v>
      </c>
      <c r="AA220" s="6">
        <v>4.2</v>
      </c>
      <c r="AB220" s="6"/>
      <c r="AC220" s="4">
        <f>U220*Z220</f>
        <v>722.99999999999989</v>
      </c>
      <c r="AD220" s="4">
        <f>U220*AA220</f>
        <v>831.6</v>
      </c>
      <c r="AE220" s="4"/>
      <c r="AF220" s="2" t="s">
        <v>176</v>
      </c>
    </row>
    <row r="221" spans="1:32" ht="80" x14ac:dyDescent="0.2">
      <c r="A221" s="3" t="s">
        <v>170</v>
      </c>
      <c r="B221" s="2" t="s">
        <v>331</v>
      </c>
      <c r="C221" s="3">
        <v>2024</v>
      </c>
      <c r="D221" s="3" t="s">
        <v>34</v>
      </c>
      <c r="E221" s="3" t="s">
        <v>35</v>
      </c>
      <c r="F221" s="4">
        <v>109</v>
      </c>
      <c r="G221" s="5">
        <v>222</v>
      </c>
      <c r="H221" s="5">
        <v>238</v>
      </c>
      <c r="I221" s="5">
        <f>IF(AND(G221&lt;&gt;"",H221&lt;&gt;""),(G221+H221)/2,"")</f>
        <v>230</v>
      </c>
      <c r="J221" s="4">
        <v>75</v>
      </c>
      <c r="K221" s="4">
        <v>81</v>
      </c>
      <c r="L221" s="4">
        <f>IF(AND(J221&lt;&gt;"",K221&lt;&gt;""),(J221+K221)/2,"")</f>
        <v>78</v>
      </c>
      <c r="M221" s="6">
        <f>IF(L221&lt;&gt;"",L221/33.7,"")</f>
        <v>2.314540059347181</v>
      </c>
      <c r="N221" s="6">
        <f>IF(AND(I221&lt;&gt;"",F221&lt;&gt;""),I221/F221,"")</f>
        <v>2.1100917431192658</v>
      </c>
      <c r="O221" s="2" t="s">
        <v>36</v>
      </c>
      <c r="P221" s="2" t="s">
        <v>37</v>
      </c>
      <c r="Q221" s="2" t="s">
        <v>172</v>
      </c>
      <c r="R221" s="3" t="s">
        <v>173</v>
      </c>
      <c r="S221" s="3" t="s">
        <v>174</v>
      </c>
      <c r="T221" s="2" t="s">
        <v>175</v>
      </c>
      <c r="U221" s="3">
        <v>198</v>
      </c>
      <c r="V221" s="3">
        <v>2</v>
      </c>
      <c r="W221" s="3">
        <v>33</v>
      </c>
      <c r="X221" s="3">
        <v>12</v>
      </c>
      <c r="Y221" s="3">
        <f>IF(AND(U221&lt;&gt;"",V221&lt;&gt;""),U221*V221,"")</f>
        <v>396</v>
      </c>
      <c r="Z221" s="6">
        <v>3.6515151515151509</v>
      </c>
      <c r="AA221" s="6">
        <v>4.2</v>
      </c>
      <c r="AB221" s="6"/>
      <c r="AC221" s="4">
        <f>U221*Z221</f>
        <v>722.99999999999989</v>
      </c>
      <c r="AD221" s="4">
        <f>U221*AA221</f>
        <v>831.6</v>
      </c>
      <c r="AE221" s="4"/>
      <c r="AF221" s="2" t="s">
        <v>176</v>
      </c>
    </row>
    <row r="222" spans="1:32" ht="16" x14ac:dyDescent="0.2">
      <c r="A222" s="3" t="s">
        <v>180</v>
      </c>
      <c r="B222" s="2" t="s">
        <v>332</v>
      </c>
      <c r="C222" s="3">
        <v>2024</v>
      </c>
      <c r="D222" s="3" t="s">
        <v>42</v>
      </c>
      <c r="E222" s="3" t="s">
        <v>35</v>
      </c>
      <c r="F222" s="4">
        <v>144</v>
      </c>
      <c r="G222" s="5">
        <v>274</v>
      </c>
      <c r="H222" s="5">
        <v>274</v>
      </c>
      <c r="I222" s="5">
        <f>IF(AND(G222&lt;&gt;"",H222&lt;&gt;""),(G222+H222)/2,"")</f>
        <v>274</v>
      </c>
      <c r="J222" s="4">
        <v>63</v>
      </c>
      <c r="K222" s="4">
        <v>63</v>
      </c>
      <c r="L222" s="4">
        <f>IF(AND(J222&lt;&gt;"",K222&lt;&gt;""),(J222+K222)/2,"")</f>
        <v>63</v>
      </c>
      <c r="M222" s="6">
        <f>IF(L222&lt;&gt;"",L222/33.7,"")</f>
        <v>1.8694362017804154</v>
      </c>
      <c r="N222" s="6">
        <f>IF(AND(I222&lt;&gt;"",F222&lt;&gt;""),I222/F222,"")</f>
        <v>1.9027777777777777</v>
      </c>
      <c r="O222" s="2" t="s">
        <v>43</v>
      </c>
      <c r="P222" s="2" t="s">
        <v>44</v>
      </c>
      <c r="Q222" s="2"/>
      <c r="R222" s="3" t="s">
        <v>182</v>
      </c>
      <c r="S222" s="3" t="s">
        <v>183</v>
      </c>
      <c r="T222" s="2"/>
      <c r="U222" s="3"/>
      <c r="V222" s="3"/>
      <c r="W222" s="3"/>
      <c r="X222" s="3"/>
      <c r="Y222" s="3" t="str">
        <f>IF(AND(U222&lt;&gt;"",V222&lt;&gt;""),U222*V222,"")</f>
        <v/>
      </c>
      <c r="Z222" s="6"/>
      <c r="AA222" s="6"/>
      <c r="AB222" s="6"/>
      <c r="AC222" s="4"/>
      <c r="AD222" s="4"/>
      <c r="AE222" s="4"/>
      <c r="AF222" s="2"/>
    </row>
    <row r="223" spans="1:32" ht="16" x14ac:dyDescent="0.2">
      <c r="A223" s="3" t="s">
        <v>180</v>
      </c>
      <c r="B223" s="2" t="s">
        <v>333</v>
      </c>
      <c r="C223" s="3">
        <v>2024</v>
      </c>
      <c r="D223" s="3" t="s">
        <v>42</v>
      </c>
      <c r="E223" s="3" t="s">
        <v>83</v>
      </c>
      <c r="F223" s="4">
        <v>144</v>
      </c>
      <c r="G223" s="5">
        <v>255</v>
      </c>
      <c r="H223" s="5">
        <v>352</v>
      </c>
      <c r="I223" s="5">
        <f>IF(AND(G223&lt;&gt;"",H223&lt;&gt;""),(G223+H223)/2,"")</f>
        <v>303.5</v>
      </c>
      <c r="J223" s="4">
        <v>65</v>
      </c>
      <c r="K223" s="4">
        <v>78</v>
      </c>
      <c r="L223" s="4">
        <f>IF(AND(J223&lt;&gt;"",K223&lt;&gt;""),(J223+K223)/2,"")</f>
        <v>71.5</v>
      </c>
      <c r="M223" s="6">
        <f>IF(L223&lt;&gt;"",L223/33.7,"")</f>
        <v>2.1216617210682491</v>
      </c>
      <c r="N223" s="6">
        <f>IF(AND(I223&lt;&gt;"",F223&lt;&gt;""),I223/F223,"")</f>
        <v>2.1076388888888888</v>
      </c>
      <c r="O223" s="2" t="s">
        <v>43</v>
      </c>
      <c r="P223" s="2" t="s">
        <v>44</v>
      </c>
      <c r="Q223" s="2"/>
      <c r="R223" s="3" t="s">
        <v>182</v>
      </c>
      <c r="S223" s="3" t="s">
        <v>183</v>
      </c>
      <c r="T223" s="2"/>
      <c r="U223" s="3"/>
      <c r="V223" s="3"/>
      <c r="W223" s="3"/>
      <c r="X223" s="3"/>
      <c r="Y223" s="3" t="str">
        <f>IF(AND(U223&lt;&gt;"",V223&lt;&gt;""),U223*V223,"")</f>
        <v/>
      </c>
      <c r="Z223" s="6"/>
      <c r="AA223" s="6"/>
      <c r="AB223" s="6"/>
      <c r="AC223" s="4"/>
      <c r="AD223" s="4"/>
      <c r="AE223" s="4"/>
      <c r="AF223" s="2"/>
    </row>
    <row r="224" spans="1:32" ht="16" x14ac:dyDescent="0.2">
      <c r="A224" s="3" t="s">
        <v>180</v>
      </c>
      <c r="B224" s="2" t="s">
        <v>334</v>
      </c>
      <c r="C224" s="3">
        <v>2024</v>
      </c>
      <c r="D224" s="3" t="s">
        <v>42</v>
      </c>
      <c r="E224" s="3" t="s">
        <v>83</v>
      </c>
      <c r="F224" s="4">
        <v>149.69999999999999</v>
      </c>
      <c r="G224" s="5">
        <v>355</v>
      </c>
      <c r="H224" s="5">
        <v>400</v>
      </c>
      <c r="I224" s="5">
        <f>IF(AND(G224&lt;&gt;"",H224&lt;&gt;""),(G224+H224)/2,"")</f>
        <v>377.5</v>
      </c>
      <c r="J224" s="4">
        <v>73</v>
      </c>
      <c r="K224" s="4">
        <v>82</v>
      </c>
      <c r="L224" s="4">
        <f>IF(AND(J224&lt;&gt;"",K224&lt;&gt;""),(J224+K224)/2,"")</f>
        <v>77.5</v>
      </c>
      <c r="M224" s="6">
        <f>IF(L224&lt;&gt;"",L224/33.7,"")</f>
        <v>2.2997032640949553</v>
      </c>
      <c r="N224" s="6">
        <f>IF(AND(I224&lt;&gt;"",F224&lt;&gt;""),I224/F224,"")</f>
        <v>2.5217100868403475</v>
      </c>
      <c r="O224" s="2" t="s">
        <v>43</v>
      </c>
      <c r="P224" s="2" t="s">
        <v>44</v>
      </c>
      <c r="Q224" s="2"/>
      <c r="R224" s="3" t="s">
        <v>182</v>
      </c>
      <c r="S224" s="3" t="s">
        <v>183</v>
      </c>
      <c r="T224" s="2"/>
      <c r="U224" s="3"/>
      <c r="V224" s="3"/>
      <c r="W224" s="3"/>
      <c r="X224" s="3"/>
      <c r="Y224" s="3" t="str">
        <f>IF(AND(U224&lt;&gt;"",V224&lt;&gt;""),U224*V224,"")</f>
        <v/>
      </c>
      <c r="Z224" s="6"/>
      <c r="AA224" s="6"/>
      <c r="AB224" s="6"/>
      <c r="AC224" s="4"/>
      <c r="AD224" s="4"/>
      <c r="AE224" s="4"/>
      <c r="AF224" s="2"/>
    </row>
    <row r="225" spans="1:32" ht="16" x14ac:dyDescent="0.2">
      <c r="A225" s="3" t="s">
        <v>180</v>
      </c>
      <c r="B225" s="2" t="s">
        <v>335</v>
      </c>
      <c r="C225" s="3">
        <v>2024</v>
      </c>
      <c r="D225" s="3" t="s">
        <v>42</v>
      </c>
      <c r="E225" s="3" t="s">
        <v>35</v>
      </c>
      <c r="F225" s="4">
        <v>144</v>
      </c>
      <c r="G225" s="5">
        <v>289</v>
      </c>
      <c r="H225" s="5">
        <v>321</v>
      </c>
      <c r="I225" s="5">
        <f>IF(AND(G225&lt;&gt;"",H225&lt;&gt;""),(G225+H225)/2,"")</f>
        <v>305</v>
      </c>
      <c r="J225" s="4">
        <v>64</v>
      </c>
      <c r="K225" s="4">
        <v>71</v>
      </c>
      <c r="L225" s="4">
        <f>IF(AND(J225&lt;&gt;"",K225&lt;&gt;""),(J225+K225)/2,"")</f>
        <v>67.5</v>
      </c>
      <c r="M225" s="6">
        <f>IF(L225&lt;&gt;"",L225/33.7,"")</f>
        <v>2.0029673590504449</v>
      </c>
      <c r="N225" s="6">
        <f>IF(AND(I225&lt;&gt;"",F225&lt;&gt;""),I225/F225,"")</f>
        <v>2.1180555555555554</v>
      </c>
      <c r="O225" s="2" t="s">
        <v>43</v>
      </c>
      <c r="P225" s="2" t="s">
        <v>44</v>
      </c>
      <c r="Q225" s="2"/>
      <c r="R225" s="3" t="s">
        <v>182</v>
      </c>
      <c r="S225" s="3" t="s">
        <v>183</v>
      </c>
      <c r="T225" s="2"/>
      <c r="U225" s="3"/>
      <c r="V225" s="3"/>
      <c r="W225" s="3"/>
      <c r="X225" s="3"/>
      <c r="Y225" s="3" t="str">
        <f>IF(AND(U225&lt;&gt;"",V225&lt;&gt;""),U225*V225,"")</f>
        <v/>
      </c>
      <c r="Z225" s="6"/>
      <c r="AA225" s="6"/>
      <c r="AB225" s="6"/>
      <c r="AC225" s="4"/>
      <c r="AD225" s="4"/>
      <c r="AE225" s="4"/>
      <c r="AF225" s="2"/>
    </row>
    <row r="226" spans="1:32" ht="16" x14ac:dyDescent="0.2">
      <c r="A226" s="3" t="s">
        <v>180</v>
      </c>
      <c r="B226" s="2" t="s">
        <v>336</v>
      </c>
      <c r="C226" s="3">
        <v>2024</v>
      </c>
      <c r="D226" s="3" t="s">
        <v>86</v>
      </c>
      <c r="E226" s="3" t="s">
        <v>83</v>
      </c>
      <c r="F226" s="4">
        <v>144</v>
      </c>
      <c r="G226" s="5">
        <v>255</v>
      </c>
      <c r="H226" s="5">
        <v>352</v>
      </c>
      <c r="I226" s="5">
        <f>IF(AND(G226&lt;&gt;"",H226&lt;&gt;""),(G226+H226)/2,"")</f>
        <v>303.5</v>
      </c>
      <c r="J226" s="4">
        <v>65</v>
      </c>
      <c r="K226" s="4">
        <v>78</v>
      </c>
      <c r="L226" s="4">
        <f>IF(AND(J226&lt;&gt;"",K226&lt;&gt;""),(J226+K226)/2,"")</f>
        <v>71.5</v>
      </c>
      <c r="M226" s="6">
        <f>IF(L226&lt;&gt;"",L226/33.7,"")</f>
        <v>2.1216617210682491</v>
      </c>
      <c r="N226" s="6">
        <f>IF(AND(I226&lt;&gt;"",F226&lt;&gt;""),I226/F226,"")</f>
        <v>2.1076388888888888</v>
      </c>
      <c r="O226" s="2" t="s">
        <v>43</v>
      </c>
      <c r="P226" s="2" t="s">
        <v>44</v>
      </c>
      <c r="Q226" s="2"/>
      <c r="R226" s="3" t="s">
        <v>186</v>
      </c>
      <c r="S226" s="3" t="s">
        <v>187</v>
      </c>
      <c r="T226" s="2"/>
      <c r="U226" s="3"/>
      <c r="V226" s="3"/>
      <c r="W226" s="3"/>
      <c r="X226" s="3"/>
      <c r="Y226" s="3" t="str">
        <f>IF(AND(U226&lt;&gt;"",V226&lt;&gt;""),U226*V226,"")</f>
        <v/>
      </c>
      <c r="Z226" s="6"/>
      <c r="AA226" s="6"/>
      <c r="AB226" s="6"/>
      <c r="AC226" s="4"/>
      <c r="AD226" s="4"/>
      <c r="AE226" s="4"/>
      <c r="AF226" s="2"/>
    </row>
    <row r="227" spans="1:32" ht="16" x14ac:dyDescent="0.2">
      <c r="A227" s="3" t="s">
        <v>180</v>
      </c>
      <c r="B227" s="2" t="s">
        <v>337</v>
      </c>
      <c r="C227" s="3">
        <v>2024</v>
      </c>
      <c r="D227" s="3" t="s">
        <v>86</v>
      </c>
      <c r="E227" s="3" t="s">
        <v>83</v>
      </c>
      <c r="F227" s="4">
        <v>149.69999999999999</v>
      </c>
      <c r="G227" s="5">
        <v>355</v>
      </c>
      <c r="H227" s="5">
        <v>410</v>
      </c>
      <c r="I227" s="5">
        <f>IF(AND(G227&lt;&gt;"",H227&lt;&gt;""),(G227+H227)/2,"")</f>
        <v>382.5</v>
      </c>
      <c r="J227" s="4">
        <v>73</v>
      </c>
      <c r="K227" s="4">
        <v>84</v>
      </c>
      <c r="L227" s="4">
        <f>IF(AND(J227&lt;&gt;"",K227&lt;&gt;""),(J227+K227)/2,"")</f>
        <v>78.5</v>
      </c>
      <c r="M227" s="6">
        <f>IF(L227&lt;&gt;"",L227/33.7,"")</f>
        <v>2.3293768545994062</v>
      </c>
      <c r="N227" s="6">
        <f>IF(AND(I227&lt;&gt;"",F227&lt;&gt;""),I227/F227,"")</f>
        <v>2.555110220440882</v>
      </c>
      <c r="O227" s="2" t="s">
        <v>43</v>
      </c>
      <c r="P227" s="2" t="s">
        <v>44</v>
      </c>
      <c r="Q227" s="2"/>
      <c r="R227" s="3" t="s">
        <v>186</v>
      </c>
      <c r="S227" s="3" t="s">
        <v>187</v>
      </c>
      <c r="T227" s="2"/>
      <c r="U227" s="3"/>
      <c r="V227" s="3"/>
      <c r="W227" s="3"/>
      <c r="X227" s="3"/>
      <c r="Y227" s="3" t="str">
        <f>IF(AND(U227&lt;&gt;"",V227&lt;&gt;""),U227*V227,"")</f>
        <v/>
      </c>
      <c r="Z227" s="6"/>
      <c r="AA227" s="6"/>
      <c r="AB227" s="6"/>
      <c r="AC227" s="4"/>
      <c r="AD227" s="4"/>
      <c r="AE227" s="4"/>
      <c r="AF227" s="2"/>
    </row>
    <row r="228" spans="1:32" ht="16" x14ac:dyDescent="0.2">
      <c r="A228" s="3" t="s">
        <v>180</v>
      </c>
      <c r="B228" s="2" t="s">
        <v>338</v>
      </c>
      <c r="C228" s="3">
        <v>2024</v>
      </c>
      <c r="D228" s="3" t="s">
        <v>86</v>
      </c>
      <c r="E228" s="3" t="s">
        <v>35</v>
      </c>
      <c r="F228" s="4">
        <v>144</v>
      </c>
      <c r="G228" s="5">
        <v>274</v>
      </c>
      <c r="H228" s="5">
        <v>328</v>
      </c>
      <c r="I228" s="5">
        <f>IF(AND(G228&lt;&gt;"",H228&lt;&gt;""),(G228+H228)/2,"")</f>
        <v>301</v>
      </c>
      <c r="J228" s="4">
        <v>63</v>
      </c>
      <c r="K228" s="4">
        <v>73</v>
      </c>
      <c r="L228" s="4">
        <f>IF(AND(J228&lt;&gt;"",K228&lt;&gt;""),(J228+K228)/2,"")</f>
        <v>68</v>
      </c>
      <c r="M228" s="6">
        <f>IF(L228&lt;&gt;"",L228/33.7,"")</f>
        <v>2.0178041543026706</v>
      </c>
      <c r="N228" s="6">
        <f>IF(AND(I228&lt;&gt;"",F228&lt;&gt;""),I228/F228,"")</f>
        <v>2.0902777777777777</v>
      </c>
      <c r="O228" s="2" t="s">
        <v>43</v>
      </c>
      <c r="P228" s="2" t="s">
        <v>44</v>
      </c>
      <c r="Q228" s="2"/>
      <c r="R228" s="3" t="s">
        <v>186</v>
      </c>
      <c r="S228" s="3" t="s">
        <v>187</v>
      </c>
      <c r="T228" s="2"/>
      <c r="U228" s="3"/>
      <c r="V228" s="3"/>
      <c r="W228" s="3"/>
      <c r="X228" s="3"/>
      <c r="Y228" s="3" t="str">
        <f>IF(AND(U228&lt;&gt;"",V228&lt;&gt;""),U228*V228,"")</f>
        <v/>
      </c>
      <c r="Z228" s="6"/>
      <c r="AA228" s="6"/>
      <c r="AB228" s="6"/>
      <c r="AC228" s="4"/>
      <c r="AD228" s="4"/>
      <c r="AE228" s="4"/>
      <c r="AF228" s="2"/>
    </row>
    <row r="229" spans="1:32" ht="16" x14ac:dyDescent="0.2">
      <c r="A229" s="3" t="s">
        <v>339</v>
      </c>
      <c r="B229" s="2" t="s">
        <v>340</v>
      </c>
      <c r="C229" s="3">
        <v>2024</v>
      </c>
      <c r="D229" s="3" t="s">
        <v>34</v>
      </c>
      <c r="E229" s="3" t="s">
        <v>35</v>
      </c>
      <c r="F229" s="4">
        <v>105</v>
      </c>
      <c r="G229" s="5">
        <v>264</v>
      </c>
      <c r="H229" s="5">
        <v>280</v>
      </c>
      <c r="I229" s="5">
        <f>IF(AND(G229&lt;&gt;"",H229&lt;&gt;""),(G229+H229)/2,"")</f>
        <v>272</v>
      </c>
      <c r="J229" s="4">
        <v>73</v>
      </c>
      <c r="K229" s="4">
        <v>78</v>
      </c>
      <c r="L229" s="4">
        <f>IF(AND(J229&lt;&gt;"",K229&lt;&gt;""),(J229+K229)/2,"")</f>
        <v>75.5</v>
      </c>
      <c r="M229" s="6">
        <f>IF(L229&lt;&gt;"",L229/33.7,"")</f>
        <v>2.2403560830860534</v>
      </c>
      <c r="N229" s="6">
        <f>IF(AND(I229&lt;&gt;"",F229&lt;&gt;""),I229/F229,"")</f>
        <v>2.5904761904761906</v>
      </c>
      <c r="O229" s="2" t="s">
        <v>43</v>
      </c>
      <c r="P229" s="2" t="s">
        <v>44</v>
      </c>
      <c r="Q229" s="2"/>
      <c r="R229" s="3" t="s">
        <v>62</v>
      </c>
      <c r="S229" s="3" t="s">
        <v>63</v>
      </c>
      <c r="T229" s="2"/>
      <c r="U229" s="3"/>
      <c r="V229" s="3"/>
      <c r="W229" s="3"/>
      <c r="X229" s="3"/>
      <c r="Y229" s="3" t="str">
        <f>IF(AND(U229&lt;&gt;"",V229&lt;&gt;""),U229*V229,"")</f>
        <v/>
      </c>
      <c r="Z229" s="6"/>
      <c r="AA229" s="6"/>
      <c r="AB229" s="6"/>
      <c r="AC229" s="4"/>
      <c r="AD229" s="4"/>
      <c r="AE229" s="4"/>
      <c r="AF229" s="2"/>
    </row>
    <row r="230" spans="1:32" ht="16" x14ac:dyDescent="0.2">
      <c r="A230" s="3" t="s">
        <v>339</v>
      </c>
      <c r="B230" s="2" t="s">
        <v>341</v>
      </c>
      <c r="C230" s="3">
        <v>2024</v>
      </c>
      <c r="D230" s="3" t="s">
        <v>34</v>
      </c>
      <c r="E230" s="3" t="s">
        <v>35</v>
      </c>
      <c r="F230" s="4">
        <v>105</v>
      </c>
      <c r="G230" s="5">
        <v>266</v>
      </c>
      <c r="H230" s="5">
        <v>291</v>
      </c>
      <c r="I230" s="5">
        <f>IF(AND(G230&lt;&gt;"",H230&lt;&gt;""),(G230+H230)/2,"")</f>
        <v>278.5</v>
      </c>
      <c r="J230" s="4">
        <v>74</v>
      </c>
      <c r="K230" s="4">
        <v>81</v>
      </c>
      <c r="L230" s="4">
        <f>IF(AND(J230&lt;&gt;"",K230&lt;&gt;""),(J230+K230)/2,"")</f>
        <v>77.5</v>
      </c>
      <c r="M230" s="6">
        <f>IF(L230&lt;&gt;"",L230/33.7,"")</f>
        <v>2.2997032640949553</v>
      </c>
      <c r="N230" s="6">
        <f>IF(AND(I230&lt;&gt;"",F230&lt;&gt;""),I230/F230,"")</f>
        <v>2.6523809523809523</v>
      </c>
      <c r="O230" s="2" t="s">
        <v>43</v>
      </c>
      <c r="P230" s="2" t="s">
        <v>44</v>
      </c>
      <c r="Q230" s="2"/>
      <c r="R230" s="3" t="s">
        <v>62</v>
      </c>
      <c r="S230" s="3" t="s">
        <v>63</v>
      </c>
      <c r="T230" s="2"/>
      <c r="U230" s="3"/>
      <c r="V230" s="3"/>
      <c r="W230" s="3"/>
      <c r="X230" s="3"/>
      <c r="Y230" s="3" t="str">
        <f>IF(AND(U230&lt;&gt;"",V230&lt;&gt;""),U230*V230,"")</f>
        <v/>
      </c>
      <c r="Z230" s="6"/>
      <c r="AA230" s="6"/>
      <c r="AB230" s="6"/>
      <c r="AC230" s="4"/>
      <c r="AD230" s="4"/>
      <c r="AE230" s="4"/>
      <c r="AF230" s="2"/>
    </row>
    <row r="231" spans="1:32" ht="16" x14ac:dyDescent="0.2">
      <c r="A231" s="3" t="s">
        <v>189</v>
      </c>
      <c r="B231" s="2" t="s">
        <v>342</v>
      </c>
      <c r="C231" s="3">
        <v>2024</v>
      </c>
      <c r="D231" s="3" t="s">
        <v>42</v>
      </c>
      <c r="E231" s="3" t="s">
        <v>35</v>
      </c>
      <c r="F231" s="4">
        <v>72</v>
      </c>
      <c r="G231" s="5">
        <v>222</v>
      </c>
      <c r="H231" s="5">
        <v>227</v>
      </c>
      <c r="I231" s="5">
        <f>IF(AND(G231&lt;&gt;"",H231&lt;&gt;""),(G231+H231)/2,"")</f>
        <v>224.5</v>
      </c>
      <c r="J231" s="4">
        <v>102</v>
      </c>
      <c r="K231" s="4">
        <v>104</v>
      </c>
      <c r="L231" s="4">
        <f>IF(AND(J231&lt;&gt;"",K231&lt;&gt;""),(J231+K231)/2,"")</f>
        <v>103</v>
      </c>
      <c r="M231" s="6">
        <f>IF(L231&lt;&gt;"",L231/33.7,"")</f>
        <v>3.0563798219584566</v>
      </c>
      <c r="N231" s="6">
        <f>IF(AND(I231&lt;&gt;"",F231&lt;&gt;""),I231/F231,"")</f>
        <v>3.1180555555555554</v>
      </c>
      <c r="O231" s="2" t="s">
        <v>43</v>
      </c>
      <c r="P231" s="2" t="s">
        <v>44</v>
      </c>
      <c r="Q231" s="2"/>
      <c r="R231" s="3" t="s">
        <v>127</v>
      </c>
      <c r="S231" s="3" t="s">
        <v>128</v>
      </c>
      <c r="T231" s="2"/>
      <c r="U231" s="3"/>
      <c r="V231" s="3"/>
      <c r="W231" s="3"/>
      <c r="X231" s="3"/>
      <c r="Y231" s="3" t="str">
        <f>IF(AND(U231&lt;&gt;"",V231&lt;&gt;""),U231*V231,"")</f>
        <v/>
      </c>
      <c r="Z231" s="6"/>
      <c r="AA231" s="6"/>
      <c r="AB231" s="6"/>
      <c r="AC231" s="4"/>
      <c r="AD231" s="4"/>
      <c r="AE231" s="4"/>
      <c r="AF231" s="2"/>
    </row>
    <row r="232" spans="1:32" ht="16" x14ac:dyDescent="0.2">
      <c r="A232" s="3" t="s">
        <v>191</v>
      </c>
      <c r="B232" s="2" t="s">
        <v>343</v>
      </c>
      <c r="C232" s="3">
        <v>2024</v>
      </c>
      <c r="D232" s="3" t="s">
        <v>34</v>
      </c>
      <c r="E232" s="3" t="s">
        <v>35</v>
      </c>
      <c r="F232" s="4">
        <v>81.400000000000006</v>
      </c>
      <c r="G232" s="5">
        <v>303</v>
      </c>
      <c r="H232" s="5">
        <v>342</v>
      </c>
      <c r="I232" s="5">
        <f>IF(AND(G232&lt;&gt;"",H232&lt;&gt;""),(G232+H232)/2,"")</f>
        <v>322.5</v>
      </c>
      <c r="J232" s="4">
        <v>112</v>
      </c>
      <c r="K232" s="4">
        <v>130</v>
      </c>
      <c r="L232" s="4">
        <f>IF(AND(J232&lt;&gt;"",K232&lt;&gt;""),(J232+K232)/2,"")</f>
        <v>121</v>
      </c>
      <c r="M232" s="6">
        <f>IF(L232&lt;&gt;"",L232/33.7,"")</f>
        <v>3.5905044510385755</v>
      </c>
      <c r="N232" s="6">
        <f>IF(AND(I232&lt;&gt;"",F232&lt;&gt;""),I232/F232,"")</f>
        <v>3.9619164619164615</v>
      </c>
      <c r="O232" s="2" t="s">
        <v>43</v>
      </c>
      <c r="P232" s="2" t="s">
        <v>44</v>
      </c>
      <c r="Q232" s="2"/>
      <c r="R232" s="3" t="s">
        <v>193</v>
      </c>
      <c r="S232" s="3" t="s">
        <v>194</v>
      </c>
      <c r="T232" s="2"/>
      <c r="U232" s="3"/>
      <c r="V232" s="3"/>
      <c r="W232" s="3"/>
      <c r="X232" s="3"/>
      <c r="Y232" s="3" t="str">
        <f>IF(AND(U232&lt;&gt;"",V232&lt;&gt;""),U232*V232,"")</f>
        <v/>
      </c>
      <c r="Z232" s="6"/>
      <c r="AA232" s="6"/>
      <c r="AB232" s="6"/>
      <c r="AC232" s="4"/>
      <c r="AD232" s="4"/>
      <c r="AE232" s="4"/>
      <c r="AF232" s="2"/>
    </row>
    <row r="233" spans="1:32" ht="16" x14ac:dyDescent="0.2">
      <c r="A233" s="3" t="s">
        <v>191</v>
      </c>
      <c r="B233" s="2" t="s">
        <v>344</v>
      </c>
      <c r="C233" s="3">
        <v>2024</v>
      </c>
      <c r="D233" s="3" t="s">
        <v>34</v>
      </c>
      <c r="E233" s="3" t="s">
        <v>35</v>
      </c>
      <c r="F233" s="4">
        <v>81.400000000000006</v>
      </c>
      <c r="G233" s="5">
        <v>341</v>
      </c>
      <c r="H233" s="5">
        <v>341</v>
      </c>
      <c r="I233" s="5">
        <f>IF(AND(G233&lt;&gt;"",H233&lt;&gt;""),(G233+H233)/2,"")</f>
        <v>341</v>
      </c>
      <c r="J233" s="4">
        <v>128</v>
      </c>
      <c r="K233" s="4">
        <v>128</v>
      </c>
      <c r="L233" s="4">
        <f>IF(AND(J233&lt;&gt;"",K233&lt;&gt;""),(J233+K233)/2,"")</f>
        <v>128</v>
      </c>
      <c r="M233" s="6">
        <f>IF(L233&lt;&gt;"",L233/33.7,"")</f>
        <v>3.7982195845697326</v>
      </c>
      <c r="N233" s="6">
        <f>IF(AND(I233&lt;&gt;"",F233&lt;&gt;""),I233/F233,"")</f>
        <v>4.1891891891891886</v>
      </c>
      <c r="O233" s="2" t="s">
        <v>43</v>
      </c>
      <c r="P233" s="2" t="s">
        <v>44</v>
      </c>
      <c r="Q233" s="2"/>
      <c r="R233" s="3" t="s">
        <v>193</v>
      </c>
      <c r="S233" s="3" t="s">
        <v>194</v>
      </c>
      <c r="T233" s="2"/>
      <c r="U233" s="3"/>
      <c r="V233" s="3"/>
      <c r="W233" s="3"/>
      <c r="X233" s="3"/>
      <c r="Y233" s="3" t="str">
        <f>IF(AND(U233&lt;&gt;"",V233&lt;&gt;""),U233*V233,"")</f>
        <v/>
      </c>
      <c r="Z233" s="6"/>
      <c r="AA233" s="6"/>
      <c r="AB233" s="6"/>
      <c r="AC233" s="4"/>
      <c r="AD233" s="4"/>
      <c r="AE233" s="4"/>
      <c r="AF233" s="2"/>
    </row>
    <row r="234" spans="1:32" ht="16" x14ac:dyDescent="0.2">
      <c r="A234" s="3" t="s">
        <v>191</v>
      </c>
      <c r="B234" s="2" t="s">
        <v>195</v>
      </c>
      <c r="C234" s="3">
        <v>2024</v>
      </c>
      <c r="D234" s="3" t="s">
        <v>34</v>
      </c>
      <c r="E234" s="3" t="s">
        <v>50</v>
      </c>
      <c r="F234" s="4">
        <v>60.2</v>
      </c>
      <c r="G234" s="5">
        <v>272</v>
      </c>
      <c r="H234" s="5">
        <v>363</v>
      </c>
      <c r="I234" s="5">
        <f>IF(AND(G234&lt;&gt;"",H234&lt;&gt;""),(G234+H234)/2,"")</f>
        <v>317.5</v>
      </c>
      <c r="J234" s="4">
        <v>132</v>
      </c>
      <c r="K234" s="4">
        <v>137</v>
      </c>
      <c r="L234" s="4">
        <f>IF(AND(J234&lt;&gt;"",K234&lt;&gt;""),(J234+K234)/2,"")</f>
        <v>134.5</v>
      </c>
      <c r="M234" s="6">
        <f>IF(L234&lt;&gt;"",L234/33.7,"")</f>
        <v>3.9910979228486645</v>
      </c>
      <c r="N234" s="6">
        <f>IF(AND(I234&lt;&gt;"",F234&lt;&gt;""),I234/F234,"")</f>
        <v>5.2740863787375414</v>
      </c>
      <c r="O234" s="2" t="s">
        <v>43</v>
      </c>
      <c r="P234" s="2" t="s">
        <v>44</v>
      </c>
      <c r="Q234" s="2"/>
      <c r="R234" s="3" t="s">
        <v>193</v>
      </c>
      <c r="S234" s="3" t="s">
        <v>194</v>
      </c>
      <c r="T234" s="2"/>
      <c r="U234" s="3"/>
      <c r="V234" s="3"/>
      <c r="W234" s="3"/>
      <c r="X234" s="3"/>
      <c r="Y234" s="3" t="str">
        <f>IF(AND(U234&lt;&gt;"",V234&lt;&gt;""),U234*V234,"")</f>
        <v/>
      </c>
      <c r="Z234" s="6"/>
      <c r="AA234" s="6"/>
      <c r="AB234" s="6"/>
      <c r="AC234" s="4"/>
      <c r="AD234" s="4"/>
      <c r="AE234" s="4"/>
      <c r="AF234" s="2"/>
    </row>
    <row r="235" spans="1:32" ht="16" x14ac:dyDescent="0.2">
      <c r="A235" s="3" t="s">
        <v>191</v>
      </c>
      <c r="B235" s="2" t="s">
        <v>197</v>
      </c>
      <c r="C235" s="3">
        <v>2024</v>
      </c>
      <c r="D235" s="3" t="s">
        <v>34</v>
      </c>
      <c r="E235" s="3" t="s">
        <v>35</v>
      </c>
      <c r="F235" s="4">
        <v>104.4</v>
      </c>
      <c r="G235" s="5">
        <v>402</v>
      </c>
      <c r="H235" s="5">
        <v>402</v>
      </c>
      <c r="I235" s="5">
        <f>IF(AND(G235&lt;&gt;"",H235&lt;&gt;""),(G235+H235)/2,"")</f>
        <v>402</v>
      </c>
      <c r="J235" s="4">
        <v>122</v>
      </c>
      <c r="K235" s="4">
        <v>122</v>
      </c>
      <c r="L235" s="4">
        <f>IF(AND(J235&lt;&gt;"",K235&lt;&gt;""),(J235+K235)/2,"")</f>
        <v>122</v>
      </c>
      <c r="M235" s="6">
        <f>IF(L235&lt;&gt;"",L235/33.7,"")</f>
        <v>3.6201780415430265</v>
      </c>
      <c r="N235" s="6">
        <f>IF(AND(I235&lt;&gt;"",F235&lt;&gt;""),I235/F235,"")</f>
        <v>3.8505747126436778</v>
      </c>
      <c r="O235" s="2" t="s">
        <v>43</v>
      </c>
      <c r="P235" s="2" t="s">
        <v>44</v>
      </c>
      <c r="Q235" s="2"/>
      <c r="R235" s="3" t="s">
        <v>193</v>
      </c>
      <c r="S235" s="3" t="s">
        <v>198</v>
      </c>
      <c r="T235" s="2"/>
      <c r="U235" s="3"/>
      <c r="V235" s="3"/>
      <c r="W235" s="3"/>
      <c r="X235" s="3"/>
      <c r="Y235" s="3" t="str">
        <f>IF(AND(U235&lt;&gt;"",V235&lt;&gt;""),U235*V235,"")</f>
        <v/>
      </c>
      <c r="Z235" s="6"/>
      <c r="AA235" s="6"/>
      <c r="AB235" s="6"/>
      <c r="AC235" s="4"/>
      <c r="AD235" s="4"/>
      <c r="AE235" s="4"/>
      <c r="AF235" s="2"/>
    </row>
    <row r="236" spans="1:32" ht="16" x14ac:dyDescent="0.2">
      <c r="A236" s="3" t="s">
        <v>191</v>
      </c>
      <c r="B236" s="2" t="s">
        <v>345</v>
      </c>
      <c r="C236" s="3">
        <v>2024</v>
      </c>
      <c r="D236" s="3" t="s">
        <v>34</v>
      </c>
      <c r="E236" s="3" t="s">
        <v>35</v>
      </c>
      <c r="F236" s="4">
        <v>105</v>
      </c>
      <c r="G236" s="5">
        <v>320</v>
      </c>
      <c r="H236" s="5">
        <v>359</v>
      </c>
      <c r="I236" s="5">
        <f>IF(AND(G236&lt;&gt;"",H236&lt;&gt;""),(G236+H236)/2,"")</f>
        <v>339.5</v>
      </c>
      <c r="J236" s="4">
        <v>96</v>
      </c>
      <c r="K236" s="4">
        <v>107</v>
      </c>
      <c r="L236" s="4">
        <f>IF(AND(J236&lt;&gt;"",K236&lt;&gt;""),(J236+K236)/2,"")</f>
        <v>101.5</v>
      </c>
      <c r="M236" s="6">
        <f>IF(L236&lt;&gt;"",L236/33.7,"")</f>
        <v>3.0118694362017804</v>
      </c>
      <c r="N236" s="6">
        <f>IF(AND(I236&lt;&gt;"",F236&lt;&gt;""),I236/F236,"")</f>
        <v>3.2333333333333334</v>
      </c>
      <c r="O236" s="2" t="s">
        <v>43</v>
      </c>
      <c r="P236" s="2" t="s">
        <v>44</v>
      </c>
      <c r="Q236" s="2"/>
      <c r="R236" s="3" t="s">
        <v>193</v>
      </c>
      <c r="S236" s="3" t="s">
        <v>198</v>
      </c>
      <c r="T236" s="2"/>
      <c r="U236" s="3"/>
      <c r="V236" s="3"/>
      <c r="W236" s="3"/>
      <c r="X236" s="3"/>
      <c r="Y236" s="3" t="str">
        <f>IF(AND(U236&lt;&gt;"",V236&lt;&gt;""),U236*V236,"")</f>
        <v/>
      </c>
      <c r="Z236" s="6"/>
      <c r="AA236" s="6"/>
      <c r="AB236" s="6"/>
      <c r="AC236" s="4"/>
      <c r="AD236" s="4"/>
      <c r="AE236" s="4"/>
      <c r="AF236" s="2"/>
    </row>
    <row r="237" spans="1:32" ht="16" x14ac:dyDescent="0.2">
      <c r="A237" s="3" t="s">
        <v>191</v>
      </c>
      <c r="B237" s="2" t="s">
        <v>199</v>
      </c>
      <c r="C237" s="3">
        <v>2024</v>
      </c>
      <c r="D237" s="3" t="s">
        <v>42</v>
      </c>
      <c r="E237" s="3" t="s">
        <v>35</v>
      </c>
      <c r="F237" s="4">
        <v>105</v>
      </c>
      <c r="G237" s="5">
        <v>300</v>
      </c>
      <c r="H237" s="5">
        <v>335</v>
      </c>
      <c r="I237" s="5">
        <f>IF(AND(G237&lt;&gt;"",H237&lt;&gt;""),(G237+H237)/2,"")</f>
        <v>317.5</v>
      </c>
      <c r="J237" s="4">
        <v>90</v>
      </c>
      <c r="K237" s="4">
        <v>100</v>
      </c>
      <c r="L237" s="4">
        <f>IF(AND(J237&lt;&gt;"",K237&lt;&gt;""),(J237+K237)/2,"")</f>
        <v>95</v>
      </c>
      <c r="M237" s="6">
        <f>IF(L237&lt;&gt;"",L237/33.7,"")</f>
        <v>2.8189910979228485</v>
      </c>
      <c r="N237" s="6">
        <f>IF(AND(I237&lt;&gt;"",F237&lt;&gt;""),I237/F237,"")</f>
        <v>3.0238095238095237</v>
      </c>
      <c r="O237" s="2" t="s">
        <v>43</v>
      </c>
      <c r="P237" s="2" t="s">
        <v>44</v>
      </c>
      <c r="Q237" s="2"/>
      <c r="R237" s="3" t="s">
        <v>193</v>
      </c>
      <c r="S237" s="3" t="s">
        <v>200</v>
      </c>
      <c r="T237" s="2"/>
      <c r="U237" s="3"/>
      <c r="V237" s="3"/>
      <c r="W237" s="3"/>
      <c r="X237" s="3"/>
      <c r="Y237" s="3" t="str">
        <f>IF(AND(U237&lt;&gt;"",V237&lt;&gt;""),U237*V237,"")</f>
        <v/>
      </c>
      <c r="Z237" s="6"/>
      <c r="AA237" s="6"/>
      <c r="AB237" s="6"/>
      <c r="AC237" s="4"/>
      <c r="AD237" s="4"/>
      <c r="AE237" s="4"/>
      <c r="AF237" s="2"/>
    </row>
    <row r="238" spans="1:32" ht="32" x14ac:dyDescent="0.2">
      <c r="A238" s="3" t="s">
        <v>191</v>
      </c>
      <c r="B238" s="2" t="s">
        <v>346</v>
      </c>
      <c r="C238" s="3">
        <v>2024</v>
      </c>
      <c r="D238" s="3" t="s">
        <v>42</v>
      </c>
      <c r="E238" s="3" t="s">
        <v>35</v>
      </c>
      <c r="F238" s="4">
        <v>83.4</v>
      </c>
      <c r="G238" s="5">
        <v>308</v>
      </c>
      <c r="H238" s="5">
        <v>308</v>
      </c>
      <c r="I238" s="5">
        <f>IF(AND(G238&lt;&gt;"",H238&lt;&gt;""),(G238+H238)/2,"")</f>
        <v>308</v>
      </c>
      <c r="J238" s="4">
        <v>118</v>
      </c>
      <c r="K238" s="4">
        <v>118</v>
      </c>
      <c r="L238" s="4">
        <f>IF(AND(J238&lt;&gt;"",K238&lt;&gt;""),(J238+K238)/2,"")</f>
        <v>118</v>
      </c>
      <c r="M238" s="6">
        <f>IF(L238&lt;&gt;"",L238/33.7,"")</f>
        <v>3.5014836795252222</v>
      </c>
      <c r="N238" s="6">
        <f>IF(AND(I238&lt;&gt;"",F238&lt;&gt;""),I238/F238,"")</f>
        <v>3.6930455635491604</v>
      </c>
      <c r="O238" s="2" t="s">
        <v>43</v>
      </c>
      <c r="P238" s="2" t="s">
        <v>37</v>
      </c>
      <c r="Q238" s="2" t="s">
        <v>202</v>
      </c>
      <c r="R238" s="3" t="s">
        <v>193</v>
      </c>
      <c r="S238" s="3" t="s">
        <v>194</v>
      </c>
      <c r="T238" s="2" t="s">
        <v>203</v>
      </c>
      <c r="U238" s="3">
        <v>96</v>
      </c>
      <c r="V238" s="3">
        <v>46</v>
      </c>
      <c r="W238" s="3"/>
      <c r="X238" s="3"/>
      <c r="Y238" s="3">
        <f>IF(AND(U238&lt;&gt;"",V238&lt;&gt;""),U238*V238,"")</f>
        <v>4416</v>
      </c>
      <c r="Z238" s="6"/>
      <c r="AA238" s="6"/>
      <c r="AB238" s="6"/>
      <c r="AC238" s="4"/>
      <c r="AD238" s="4"/>
      <c r="AE238" s="4"/>
      <c r="AF238" s="2" t="s">
        <v>202</v>
      </c>
    </row>
    <row r="239" spans="1:32" ht="32" x14ac:dyDescent="0.2">
      <c r="A239" s="3" t="s">
        <v>191</v>
      </c>
      <c r="B239" s="2" t="s">
        <v>347</v>
      </c>
      <c r="C239" s="3">
        <v>2024</v>
      </c>
      <c r="D239" s="3" t="s">
        <v>42</v>
      </c>
      <c r="E239" s="3" t="s">
        <v>35</v>
      </c>
      <c r="F239" s="4">
        <v>83.4</v>
      </c>
      <c r="G239" s="5">
        <v>279</v>
      </c>
      <c r="H239" s="5">
        <v>310</v>
      </c>
      <c r="I239" s="5">
        <f>IF(AND(G239&lt;&gt;"",H239&lt;&gt;""),(G239+H239)/2,"")</f>
        <v>294.5</v>
      </c>
      <c r="J239" s="4">
        <v>105</v>
      </c>
      <c r="K239" s="4">
        <v>117</v>
      </c>
      <c r="L239" s="4">
        <f>IF(AND(J239&lt;&gt;"",K239&lt;&gt;""),(J239+K239)/2,"")</f>
        <v>111</v>
      </c>
      <c r="M239" s="6">
        <f>IF(L239&lt;&gt;"",L239/33.7,"")</f>
        <v>3.2937685459940651</v>
      </c>
      <c r="N239" s="6">
        <f>IF(AND(I239&lt;&gt;"",F239&lt;&gt;""),I239/F239,"")</f>
        <v>3.5311750599520382</v>
      </c>
      <c r="O239" s="2" t="s">
        <v>43</v>
      </c>
      <c r="P239" s="2" t="s">
        <v>37</v>
      </c>
      <c r="Q239" s="2" t="s">
        <v>202</v>
      </c>
      <c r="R239" s="3" t="s">
        <v>193</v>
      </c>
      <c r="S239" s="3" t="s">
        <v>194</v>
      </c>
      <c r="T239" s="2" t="s">
        <v>203</v>
      </c>
      <c r="U239" s="3">
        <v>96</v>
      </c>
      <c r="V239" s="3">
        <v>46</v>
      </c>
      <c r="W239" s="3"/>
      <c r="X239" s="3"/>
      <c r="Y239" s="3">
        <f>IF(AND(U239&lt;&gt;"",V239&lt;&gt;""),U239*V239,"")</f>
        <v>4416</v>
      </c>
      <c r="Z239" s="6"/>
      <c r="AA239" s="6"/>
      <c r="AB239" s="6"/>
      <c r="AC239" s="4"/>
      <c r="AD239" s="4"/>
      <c r="AE239" s="4"/>
      <c r="AF239" s="2" t="s">
        <v>202</v>
      </c>
    </row>
    <row r="240" spans="1:32" ht="32" x14ac:dyDescent="0.2">
      <c r="A240" s="3" t="s">
        <v>191</v>
      </c>
      <c r="B240" s="2" t="s">
        <v>348</v>
      </c>
      <c r="C240" s="3">
        <v>2024</v>
      </c>
      <c r="D240" s="3" t="s">
        <v>42</v>
      </c>
      <c r="E240" s="3" t="s">
        <v>50</v>
      </c>
      <c r="F240" s="4">
        <v>66.5</v>
      </c>
      <c r="G240" s="5">
        <v>260</v>
      </c>
      <c r="H240" s="5">
        <v>320</v>
      </c>
      <c r="I240" s="5">
        <f>IF(AND(G240&lt;&gt;"",H240&lt;&gt;""),(G240+H240)/2,"")</f>
        <v>290</v>
      </c>
      <c r="J240" s="4">
        <v>120</v>
      </c>
      <c r="K240" s="4">
        <v>120</v>
      </c>
      <c r="L240" s="4">
        <f>IF(AND(J240&lt;&gt;"",K240&lt;&gt;""),(J240+K240)/2,"")</f>
        <v>120</v>
      </c>
      <c r="M240" s="6">
        <f>IF(L240&lt;&gt;"",L240/33.7,"")</f>
        <v>3.5608308605341241</v>
      </c>
      <c r="N240" s="6">
        <f>IF(AND(I240&lt;&gt;"",F240&lt;&gt;""),I240/F240,"")</f>
        <v>4.3609022556390977</v>
      </c>
      <c r="O240" s="2" t="s">
        <v>43</v>
      </c>
      <c r="P240" s="2" t="s">
        <v>37</v>
      </c>
      <c r="Q240" s="2" t="s">
        <v>202</v>
      </c>
      <c r="R240" s="3" t="s">
        <v>193</v>
      </c>
      <c r="S240" s="3" t="s">
        <v>194</v>
      </c>
      <c r="T240" s="2" t="s">
        <v>203</v>
      </c>
      <c r="U240" s="3">
        <v>96</v>
      </c>
      <c r="V240" s="3">
        <v>46</v>
      </c>
      <c r="W240" s="3"/>
      <c r="X240" s="3"/>
      <c r="Y240" s="3">
        <f>IF(AND(U240&lt;&gt;"",V240&lt;&gt;""),U240*V240,"")</f>
        <v>4416</v>
      </c>
      <c r="Z240" s="6"/>
      <c r="AA240" s="6"/>
      <c r="AB240" s="6"/>
      <c r="AC240" s="4"/>
      <c r="AD240" s="4"/>
      <c r="AE240" s="4"/>
      <c r="AF240" s="2" t="s">
        <v>202</v>
      </c>
    </row>
    <row r="241" spans="1:32" ht="16" x14ac:dyDescent="0.2">
      <c r="A241" s="3" t="s">
        <v>204</v>
      </c>
      <c r="B241" s="2" t="s">
        <v>205</v>
      </c>
      <c r="C241" s="3">
        <v>2024</v>
      </c>
      <c r="D241" s="3" t="s">
        <v>42</v>
      </c>
      <c r="E241" s="3" t="s">
        <v>74</v>
      </c>
      <c r="F241" s="4">
        <v>71.400000000000006</v>
      </c>
      <c r="G241" s="5">
        <v>236</v>
      </c>
      <c r="H241" s="5">
        <v>252</v>
      </c>
      <c r="I241" s="5">
        <f>IF(AND(G241&lt;&gt;"",H241&lt;&gt;""),(G241+H241)/2,"")</f>
        <v>244</v>
      </c>
      <c r="J241" s="4">
        <v>112</v>
      </c>
      <c r="K241" s="4">
        <v>119</v>
      </c>
      <c r="L241" s="4">
        <f>IF(AND(J241&lt;&gt;"",K241&lt;&gt;""),(J241+K241)/2,"")</f>
        <v>115.5</v>
      </c>
      <c r="M241" s="6">
        <f>IF(L241&lt;&gt;"",L241/33.7,"")</f>
        <v>3.4272997032640946</v>
      </c>
      <c r="N241" s="6">
        <f>IF(AND(I241&lt;&gt;"",F241&lt;&gt;""),I241/F241,"")</f>
        <v>3.4173669467787113</v>
      </c>
      <c r="O241" s="2" t="s">
        <v>43</v>
      </c>
      <c r="P241" s="2" t="s">
        <v>44</v>
      </c>
      <c r="Q241" s="2"/>
      <c r="R241" s="3" t="s">
        <v>206</v>
      </c>
      <c r="S241" s="3" t="s">
        <v>128</v>
      </c>
      <c r="T241" s="2"/>
      <c r="U241" s="3"/>
      <c r="V241" s="3"/>
      <c r="W241" s="3"/>
      <c r="X241" s="3"/>
      <c r="Y241" s="3" t="str">
        <f>IF(AND(U241&lt;&gt;"",V241&lt;&gt;""),U241*V241,"")</f>
        <v/>
      </c>
      <c r="Z241" s="6"/>
      <c r="AA241" s="6"/>
      <c r="AB241" s="6"/>
      <c r="AC241" s="4"/>
      <c r="AD241" s="4"/>
      <c r="AE241" s="4"/>
      <c r="AF241" s="2"/>
    </row>
    <row r="242" spans="1:32" ht="16" x14ac:dyDescent="0.2">
      <c r="A242" s="3" t="s">
        <v>204</v>
      </c>
      <c r="B242" s="2" t="s">
        <v>207</v>
      </c>
      <c r="C242" s="3">
        <v>2024</v>
      </c>
      <c r="D242" s="3" t="s">
        <v>42</v>
      </c>
      <c r="E242" s="3" t="s">
        <v>35</v>
      </c>
      <c r="F242" s="4">
        <v>72.8</v>
      </c>
      <c r="G242" s="5">
        <v>222</v>
      </c>
      <c r="H242" s="5">
        <v>228</v>
      </c>
      <c r="I242" s="5">
        <f>IF(AND(G242&lt;&gt;"",H242&lt;&gt;""),(G242+H242)/2,"")</f>
        <v>225</v>
      </c>
      <c r="J242" s="4">
        <v>102</v>
      </c>
      <c r="K242" s="4">
        <v>104</v>
      </c>
      <c r="L242" s="4">
        <f>IF(AND(J242&lt;&gt;"",K242&lt;&gt;""),(J242+K242)/2,"")</f>
        <v>103</v>
      </c>
      <c r="M242" s="6">
        <f>IF(L242&lt;&gt;"",L242/33.7,"")</f>
        <v>3.0563798219584566</v>
      </c>
      <c r="N242" s="6">
        <f>IF(AND(I242&lt;&gt;"",F242&lt;&gt;""),I242/F242,"")</f>
        <v>3.0906593406593408</v>
      </c>
      <c r="O242" s="2" t="s">
        <v>43</v>
      </c>
      <c r="P242" s="2" t="s">
        <v>44</v>
      </c>
      <c r="Q242" s="2"/>
      <c r="R242" s="3" t="s">
        <v>127</v>
      </c>
      <c r="S242" s="3" t="s">
        <v>128</v>
      </c>
      <c r="T242" s="2"/>
      <c r="U242" s="3"/>
      <c r="V242" s="3"/>
      <c r="W242" s="3"/>
      <c r="X242" s="3"/>
      <c r="Y242" s="3" t="str">
        <f>IF(AND(U242&lt;&gt;"",V242&lt;&gt;""),U242*V242,"")</f>
        <v/>
      </c>
      <c r="Z242" s="6"/>
      <c r="AA242" s="6"/>
      <c r="AB242" s="6"/>
      <c r="AC242" s="4"/>
      <c r="AD242" s="4"/>
      <c r="AE242" s="4"/>
      <c r="AF242" s="2"/>
    </row>
    <row r="243" spans="1:32" ht="16" x14ac:dyDescent="0.2">
      <c r="A243" s="3" t="s">
        <v>208</v>
      </c>
      <c r="B243" s="2" t="s">
        <v>349</v>
      </c>
      <c r="C243" s="3">
        <v>2024</v>
      </c>
      <c r="D243" s="3" t="s">
        <v>42</v>
      </c>
      <c r="E243" s="3" t="s">
        <v>35</v>
      </c>
      <c r="F243" s="4">
        <v>93</v>
      </c>
      <c r="G243" s="5">
        <v>291</v>
      </c>
      <c r="H243" s="5">
        <v>330</v>
      </c>
      <c r="I243" s="5">
        <f>IF(AND(G243&lt;&gt;"",H243&lt;&gt;""),(G243+H243)/2,"")</f>
        <v>310.5</v>
      </c>
      <c r="J243" s="4">
        <v>69</v>
      </c>
      <c r="K243" s="4">
        <v>75</v>
      </c>
      <c r="L243" s="4">
        <f>IF(AND(J243&lt;&gt;"",K243&lt;&gt;""),(J243+K243)/2,"")</f>
        <v>72</v>
      </c>
      <c r="M243" s="6">
        <f>IF(L243&lt;&gt;"",L243/33.7,"")</f>
        <v>2.1364985163204744</v>
      </c>
      <c r="N243" s="6">
        <f>IF(AND(I243&lt;&gt;"",F243&lt;&gt;""),I243/F243,"")</f>
        <v>3.338709677419355</v>
      </c>
      <c r="O243" s="2" t="s">
        <v>43</v>
      </c>
      <c r="P243" s="2" t="s">
        <v>44</v>
      </c>
      <c r="Q243" s="2"/>
      <c r="R243" s="3" t="s">
        <v>62</v>
      </c>
      <c r="S243" s="3" t="s">
        <v>63</v>
      </c>
      <c r="T243" s="2"/>
      <c r="U243" s="3"/>
      <c r="V243" s="3"/>
      <c r="W243" s="3"/>
      <c r="X243" s="3"/>
      <c r="Y243" s="3" t="str">
        <f>IF(AND(U243&lt;&gt;"",V243&lt;&gt;""),U243*V243,"")</f>
        <v/>
      </c>
      <c r="Z243" s="6"/>
      <c r="AA243" s="6"/>
      <c r="AB243" s="6"/>
      <c r="AC243" s="4"/>
      <c r="AD243" s="4"/>
      <c r="AE243" s="4"/>
      <c r="AF243" s="2"/>
    </row>
    <row r="244" spans="1:32" ht="32" x14ac:dyDescent="0.2">
      <c r="A244" s="3" t="s">
        <v>210</v>
      </c>
      <c r="B244" s="2" t="s">
        <v>211</v>
      </c>
      <c r="C244" s="3">
        <v>2024</v>
      </c>
      <c r="D244" s="3" t="s">
        <v>42</v>
      </c>
      <c r="E244" s="3" t="s">
        <v>35</v>
      </c>
      <c r="F244" s="4">
        <v>81</v>
      </c>
      <c r="G244" s="5">
        <v>263</v>
      </c>
      <c r="H244" s="5">
        <v>263</v>
      </c>
      <c r="I244" s="5">
        <f>IF(AND(G244&lt;&gt;"",H244&lt;&gt;""),(G244+H244)/2,"")</f>
        <v>263</v>
      </c>
      <c r="J244" s="4">
        <v>102</v>
      </c>
      <c r="K244" s="4">
        <v>102</v>
      </c>
      <c r="L244" s="4">
        <f>IF(AND(J244&lt;&gt;"",K244&lt;&gt;""),(J244+K244)/2,"")</f>
        <v>102</v>
      </c>
      <c r="M244" s="6">
        <f>IF(L244&lt;&gt;"",L244/33.7,"")</f>
        <v>3.0267062314540056</v>
      </c>
      <c r="N244" s="6">
        <f>IF(AND(I244&lt;&gt;"",F244&lt;&gt;""),I244/F244,"")</f>
        <v>3.2469135802469138</v>
      </c>
      <c r="O244" s="2" t="s">
        <v>43</v>
      </c>
      <c r="P244" s="2" t="s">
        <v>44</v>
      </c>
      <c r="Q244" s="2"/>
      <c r="R244" s="3" t="s">
        <v>350</v>
      </c>
      <c r="S244" s="3" t="s">
        <v>351</v>
      </c>
      <c r="T244" s="2" t="s">
        <v>213</v>
      </c>
      <c r="U244" s="3">
        <v>96</v>
      </c>
      <c r="V244" s="3">
        <v>3</v>
      </c>
      <c r="W244" s="3">
        <v>12</v>
      </c>
      <c r="X244" s="3">
        <v>24</v>
      </c>
      <c r="Y244" s="3">
        <f>IF(AND(U244&lt;&gt;"",V244&lt;&gt;""),U244*V244,"")</f>
        <v>288</v>
      </c>
      <c r="Z244" s="6">
        <v>3.65</v>
      </c>
      <c r="AA244" s="6">
        <v>4.2</v>
      </c>
      <c r="AB244" s="6">
        <v>2.5</v>
      </c>
      <c r="AC244" s="4">
        <f>U244*Z244</f>
        <v>350.4</v>
      </c>
      <c r="AD244" s="4">
        <f>U244*AA244</f>
        <v>403.20000000000005</v>
      </c>
      <c r="AE244" s="4">
        <f>U244*AB244</f>
        <v>240</v>
      </c>
      <c r="AF244" s="2" t="s">
        <v>214</v>
      </c>
    </row>
    <row r="245" spans="1:32" ht="32" x14ac:dyDescent="0.2">
      <c r="A245" s="3" t="s">
        <v>210</v>
      </c>
      <c r="B245" s="2" t="s">
        <v>352</v>
      </c>
      <c r="C245" s="3">
        <v>2024</v>
      </c>
      <c r="D245" s="3" t="s">
        <v>42</v>
      </c>
      <c r="E245" s="3" t="s">
        <v>50</v>
      </c>
      <c r="F245" s="4">
        <v>81</v>
      </c>
      <c r="G245" s="5">
        <v>206</v>
      </c>
      <c r="H245" s="5">
        <v>291</v>
      </c>
      <c r="I245" s="5">
        <f>IF(AND(G245&lt;&gt;"",H245&lt;&gt;""),(G245+H245)/2,"")</f>
        <v>248.5</v>
      </c>
      <c r="J245" s="4">
        <v>107</v>
      </c>
      <c r="K245" s="4">
        <v>113</v>
      </c>
      <c r="L245" s="4">
        <f>IF(AND(J245&lt;&gt;"",K245&lt;&gt;""),(J245+K245)/2,"")</f>
        <v>110</v>
      </c>
      <c r="M245" s="6">
        <f>IF(L245&lt;&gt;"",L245/33.7,"")</f>
        <v>3.2640949554896141</v>
      </c>
      <c r="N245" s="6">
        <f>IF(AND(I245&lt;&gt;"",F245&lt;&gt;""),I245/F245,"")</f>
        <v>3.0679012345679011</v>
      </c>
      <c r="O245" s="2" t="s">
        <v>43</v>
      </c>
      <c r="P245" s="2" t="s">
        <v>44</v>
      </c>
      <c r="Q245" s="2"/>
      <c r="R245" s="3" t="s">
        <v>350</v>
      </c>
      <c r="S245" s="3" t="s">
        <v>351</v>
      </c>
      <c r="T245" s="2" t="s">
        <v>213</v>
      </c>
      <c r="U245" s="3">
        <v>96</v>
      </c>
      <c r="V245" s="3">
        <v>3</v>
      </c>
      <c r="W245" s="3">
        <v>12</v>
      </c>
      <c r="X245" s="3">
        <v>24</v>
      </c>
      <c r="Y245" s="3">
        <f>IF(AND(U245&lt;&gt;"",V245&lt;&gt;""),U245*V245,"")</f>
        <v>288</v>
      </c>
      <c r="Z245" s="6">
        <v>3.65</v>
      </c>
      <c r="AA245" s="6">
        <v>4.2</v>
      </c>
      <c r="AB245" s="6">
        <v>2.5</v>
      </c>
      <c r="AC245" s="4">
        <f>U245*Z245</f>
        <v>350.4</v>
      </c>
      <c r="AD245" s="4">
        <f>U245*AA245</f>
        <v>403.20000000000005</v>
      </c>
      <c r="AE245" s="4">
        <f>U245*AB245</f>
        <v>240</v>
      </c>
      <c r="AF245" s="2" t="s">
        <v>214</v>
      </c>
    </row>
    <row r="246" spans="1:32" ht="16" x14ac:dyDescent="0.2">
      <c r="A246" s="3" t="s">
        <v>216</v>
      </c>
      <c r="B246" s="2" t="s">
        <v>353</v>
      </c>
      <c r="C246" s="3">
        <v>2024</v>
      </c>
      <c r="D246" s="3" t="s">
        <v>42</v>
      </c>
      <c r="E246" s="3" t="s">
        <v>50</v>
      </c>
      <c r="F246" s="4">
        <v>77</v>
      </c>
      <c r="G246" s="5">
        <v>293</v>
      </c>
      <c r="H246" s="5">
        <v>297</v>
      </c>
      <c r="I246" s="5">
        <f>IF(AND(G246&lt;&gt;"",H246&lt;&gt;""),(G246+H246)/2,"")</f>
        <v>295</v>
      </c>
      <c r="J246" s="4">
        <v>106</v>
      </c>
      <c r="K246" s="4">
        <v>107</v>
      </c>
      <c r="L246" s="4">
        <f>IF(AND(J246&lt;&gt;"",K246&lt;&gt;""),(J246+K246)/2,"")</f>
        <v>106.5</v>
      </c>
      <c r="M246" s="6">
        <f>IF(L246&lt;&gt;"",L246/33.7,"")</f>
        <v>3.1602373887240351</v>
      </c>
      <c r="N246" s="6">
        <f>IF(AND(I246&lt;&gt;"",F246&lt;&gt;""),I246/F246,"")</f>
        <v>3.831168831168831</v>
      </c>
      <c r="O246" s="2" t="s">
        <v>43</v>
      </c>
      <c r="P246" s="2" t="s">
        <v>44</v>
      </c>
      <c r="Q246" s="2"/>
      <c r="R246" s="3" t="s">
        <v>218</v>
      </c>
      <c r="S246" s="3" t="s">
        <v>219</v>
      </c>
      <c r="T246" s="2"/>
      <c r="U246" s="3"/>
      <c r="V246" s="3"/>
      <c r="W246" s="3"/>
      <c r="X246" s="3"/>
      <c r="Y246" s="3" t="str">
        <f>IF(AND(U246&lt;&gt;"",V246&lt;&gt;""),U246*V246,"")</f>
        <v/>
      </c>
      <c r="Z246" s="6"/>
      <c r="AA246" s="6"/>
      <c r="AB246" s="6"/>
      <c r="AC246" s="4"/>
      <c r="AD246" s="4"/>
      <c r="AE246" s="4"/>
      <c r="AF246" s="2"/>
    </row>
    <row r="247" spans="1:32" ht="16" x14ac:dyDescent="0.2">
      <c r="A247" s="3" t="s">
        <v>216</v>
      </c>
      <c r="B247" s="2" t="s">
        <v>354</v>
      </c>
      <c r="C247" s="3">
        <v>2024</v>
      </c>
      <c r="D247" s="3" t="s">
        <v>42</v>
      </c>
      <c r="E247" s="3" t="s">
        <v>35</v>
      </c>
      <c r="F247" s="4">
        <v>77</v>
      </c>
      <c r="G247" s="5">
        <v>254</v>
      </c>
      <c r="H247" s="5">
        <v>257</v>
      </c>
      <c r="I247" s="5">
        <f>IF(AND(G247&lt;&gt;"",H247&lt;&gt;""),(G247+H247)/2,"")</f>
        <v>255.5</v>
      </c>
      <c r="J247" s="4">
        <v>98</v>
      </c>
      <c r="K247" s="4">
        <v>99</v>
      </c>
      <c r="L247" s="4">
        <f>IF(AND(J247&lt;&gt;"",K247&lt;&gt;""),(J247+K247)/2,"")</f>
        <v>98.5</v>
      </c>
      <c r="M247" s="6">
        <f>IF(L247&lt;&gt;"",L247/33.7,"")</f>
        <v>2.9228486646884271</v>
      </c>
      <c r="N247" s="6">
        <f>IF(AND(I247&lt;&gt;"",F247&lt;&gt;""),I247/F247,"")</f>
        <v>3.3181818181818183</v>
      </c>
      <c r="O247" s="2" t="s">
        <v>43</v>
      </c>
      <c r="P247" s="2" t="s">
        <v>44</v>
      </c>
      <c r="Q247" s="2"/>
      <c r="R247" s="3" t="s">
        <v>218</v>
      </c>
      <c r="S247" s="3" t="s">
        <v>219</v>
      </c>
      <c r="T247" s="2"/>
      <c r="U247" s="3"/>
      <c r="V247" s="3"/>
      <c r="W247" s="3"/>
      <c r="X247" s="3"/>
      <c r="Y247" s="3" t="str">
        <f>IF(AND(U247&lt;&gt;"",V247&lt;&gt;""),U247*V247,"")</f>
        <v/>
      </c>
      <c r="Z247" s="6"/>
      <c r="AA247" s="6"/>
      <c r="AB247" s="6"/>
      <c r="AC247" s="4"/>
      <c r="AD247" s="4"/>
      <c r="AE247" s="4"/>
      <c r="AF247" s="2"/>
    </row>
    <row r="248" spans="1:32" ht="16" x14ac:dyDescent="0.2">
      <c r="A248" s="3" t="s">
        <v>32</v>
      </c>
      <c r="B248" s="2" t="s">
        <v>33</v>
      </c>
      <c r="C248" s="3">
        <v>2023</v>
      </c>
      <c r="D248" s="3" t="s">
        <v>34</v>
      </c>
      <c r="E248" s="3" t="s">
        <v>35</v>
      </c>
      <c r="F248" s="4">
        <v>95</v>
      </c>
      <c r="G248" s="5">
        <v>232</v>
      </c>
      <c r="H248" s="5">
        <v>238</v>
      </c>
      <c r="I248" s="5">
        <f>IF(AND(G248&lt;&gt;"",H248&lt;&gt;""),(G248+H248)/2,"")</f>
        <v>235</v>
      </c>
      <c r="J248" s="4">
        <v>81</v>
      </c>
      <c r="K248" s="4">
        <v>82</v>
      </c>
      <c r="L248" s="4">
        <f>IF(AND(J248&lt;&gt;"",K248&lt;&gt;""),(J248+K248)/2,"")</f>
        <v>81.5</v>
      </c>
      <c r="M248" s="6">
        <f>IF(L248&lt;&gt;"",L248/33.7,"")</f>
        <v>2.4183976261127595</v>
      </c>
      <c r="N248" s="6">
        <f>IF(AND(I248&lt;&gt;"",F248&lt;&gt;""),I248/F248,"")</f>
        <v>2.4736842105263159</v>
      </c>
      <c r="O248" s="2" t="s">
        <v>36</v>
      </c>
      <c r="P248" s="2" t="s">
        <v>37</v>
      </c>
      <c r="Q248" s="2" t="s">
        <v>38</v>
      </c>
      <c r="R248" s="3" t="s">
        <v>39</v>
      </c>
      <c r="S248" s="3" t="s">
        <v>40</v>
      </c>
      <c r="T248" s="2"/>
      <c r="U248" s="3"/>
      <c r="V248" s="3"/>
      <c r="W248" s="3"/>
      <c r="X248" s="3"/>
      <c r="Y248" s="3" t="str">
        <f>IF(AND(U248&lt;&gt;"",V248&lt;&gt;""),U248*V248,"")</f>
        <v/>
      </c>
      <c r="Z248" s="6"/>
      <c r="AA248" s="6"/>
      <c r="AB248" s="6"/>
      <c r="AC248" s="4"/>
      <c r="AD248" s="4"/>
      <c r="AE248" s="4"/>
      <c r="AF248" s="2"/>
    </row>
    <row r="249" spans="1:32" ht="16" x14ac:dyDescent="0.2">
      <c r="A249" s="3" t="s">
        <v>32</v>
      </c>
      <c r="B249" s="2" t="s">
        <v>41</v>
      </c>
      <c r="C249" s="3">
        <v>2023</v>
      </c>
      <c r="D249" s="3" t="s">
        <v>42</v>
      </c>
      <c r="E249" s="3" t="s">
        <v>35</v>
      </c>
      <c r="F249" s="4">
        <v>95</v>
      </c>
      <c r="G249" s="5">
        <v>181</v>
      </c>
      <c r="H249" s="5">
        <v>226</v>
      </c>
      <c r="I249" s="5">
        <f>IF(AND(G249&lt;&gt;"",H249&lt;&gt;""),(G249+H249)/2,"")</f>
        <v>203.5</v>
      </c>
      <c r="J249" s="4">
        <v>63</v>
      </c>
      <c r="K249" s="4">
        <v>79</v>
      </c>
      <c r="L249" s="4">
        <f>IF(AND(J249&lt;&gt;"",K249&lt;&gt;""),(J249+K249)/2,"")</f>
        <v>71</v>
      </c>
      <c r="M249" s="6">
        <f>IF(L249&lt;&gt;"",L249/33.7,"")</f>
        <v>2.1068249258160234</v>
      </c>
      <c r="N249" s="6">
        <f>IF(AND(I249&lt;&gt;"",F249&lt;&gt;""),I249/F249,"")</f>
        <v>2.142105263157895</v>
      </c>
      <c r="O249" s="2" t="s">
        <v>43</v>
      </c>
      <c r="P249" s="2" t="s">
        <v>44</v>
      </c>
      <c r="Q249" s="2"/>
      <c r="R249" s="3" t="s">
        <v>45</v>
      </c>
      <c r="S249" s="3" t="s">
        <v>46</v>
      </c>
      <c r="T249" s="2"/>
      <c r="U249" s="3"/>
      <c r="V249" s="3"/>
      <c r="W249" s="3"/>
      <c r="X249" s="3"/>
      <c r="Y249" s="3" t="str">
        <f>IF(AND(U249&lt;&gt;"",V249&lt;&gt;""),U249*V249,"")</f>
        <v/>
      </c>
      <c r="Z249" s="6"/>
      <c r="AA249" s="6"/>
      <c r="AB249" s="6"/>
      <c r="AC249" s="4"/>
      <c r="AD249" s="4"/>
      <c r="AE249" s="4"/>
      <c r="AF249" s="2"/>
    </row>
    <row r="250" spans="1:32" ht="16" x14ac:dyDescent="0.2">
      <c r="A250" s="3" t="s">
        <v>32</v>
      </c>
      <c r="B250" s="2" t="s">
        <v>47</v>
      </c>
      <c r="C250" s="3">
        <v>2023</v>
      </c>
      <c r="D250" s="3" t="s">
        <v>42</v>
      </c>
      <c r="E250" s="3" t="s">
        <v>35</v>
      </c>
      <c r="F250" s="4">
        <v>95</v>
      </c>
      <c r="G250" s="5">
        <v>185</v>
      </c>
      <c r="H250" s="5">
        <v>225</v>
      </c>
      <c r="I250" s="5">
        <f>IF(AND(G250&lt;&gt;"",H250&lt;&gt;""),(G250+H250)/2,"")</f>
        <v>205</v>
      </c>
      <c r="J250" s="4">
        <v>65</v>
      </c>
      <c r="K250" s="4">
        <v>78</v>
      </c>
      <c r="L250" s="4">
        <f>IF(AND(J250&lt;&gt;"",K250&lt;&gt;""),(J250+K250)/2,"")</f>
        <v>71.5</v>
      </c>
      <c r="M250" s="6">
        <f>IF(L250&lt;&gt;"",L250/33.7,"")</f>
        <v>2.1216617210682491</v>
      </c>
      <c r="N250" s="6">
        <f>IF(AND(I250&lt;&gt;"",F250&lt;&gt;""),I250/F250,"")</f>
        <v>2.1578947368421053</v>
      </c>
      <c r="O250" s="2" t="s">
        <v>43</v>
      </c>
      <c r="P250" s="2" t="s">
        <v>44</v>
      </c>
      <c r="Q250" s="2"/>
      <c r="R250" s="3" t="s">
        <v>45</v>
      </c>
      <c r="S250" s="3" t="s">
        <v>48</v>
      </c>
      <c r="T250" s="2"/>
      <c r="U250" s="3"/>
      <c r="V250" s="3"/>
      <c r="W250" s="3"/>
      <c r="X250" s="3"/>
      <c r="Y250" s="3" t="str">
        <f>IF(AND(U250&lt;&gt;"",V250&lt;&gt;""),U250*V250,"")</f>
        <v/>
      </c>
      <c r="Z250" s="6"/>
      <c r="AA250" s="6"/>
      <c r="AB250" s="6"/>
      <c r="AC250" s="4"/>
      <c r="AD250" s="4"/>
      <c r="AE250" s="4"/>
      <c r="AF250" s="2"/>
    </row>
    <row r="251" spans="1:32" ht="16" x14ac:dyDescent="0.2">
      <c r="A251" s="3" t="s">
        <v>32</v>
      </c>
      <c r="B251" s="2" t="s">
        <v>49</v>
      </c>
      <c r="C251" s="3">
        <v>2023</v>
      </c>
      <c r="D251" s="3" t="s">
        <v>42</v>
      </c>
      <c r="E251" s="3" t="s">
        <v>50</v>
      </c>
      <c r="F251" s="4">
        <v>82</v>
      </c>
      <c r="G251" s="5">
        <v>265</v>
      </c>
      <c r="H251" s="5">
        <v>265</v>
      </c>
      <c r="I251" s="5">
        <f>IF(AND(G251&lt;&gt;"",H251&lt;&gt;""),(G251+H251)/2,"")</f>
        <v>265</v>
      </c>
      <c r="J251" s="4">
        <v>103</v>
      </c>
      <c r="K251" s="4">
        <v>103</v>
      </c>
      <c r="L251" s="4">
        <f>IF(AND(J251&lt;&gt;"",K251&lt;&gt;""),(J251+K251)/2,"")</f>
        <v>103</v>
      </c>
      <c r="M251" s="6">
        <f>IF(L251&lt;&gt;"",L251/33.7,"")</f>
        <v>3.0563798219584566</v>
      </c>
      <c r="N251" s="6">
        <f>IF(AND(I251&lt;&gt;"",F251&lt;&gt;""),I251/F251,"")</f>
        <v>3.2317073170731709</v>
      </c>
      <c r="O251" s="2" t="s">
        <v>43</v>
      </c>
      <c r="P251" s="2" t="s">
        <v>44</v>
      </c>
      <c r="Q251" s="2"/>
      <c r="R251" s="3" t="s">
        <v>51</v>
      </c>
      <c r="S251" s="3" t="s">
        <v>52</v>
      </c>
      <c r="T251" s="2"/>
      <c r="U251" s="3"/>
      <c r="V251" s="3"/>
      <c r="W251" s="3"/>
      <c r="X251" s="3"/>
      <c r="Y251" s="3" t="str">
        <f>IF(AND(U251&lt;&gt;"",V251&lt;&gt;""),U251*V251,"")</f>
        <v/>
      </c>
      <c r="Z251" s="6"/>
      <c r="AA251" s="6"/>
      <c r="AB251" s="6"/>
      <c r="AC251" s="4"/>
      <c r="AD251" s="4"/>
      <c r="AE251" s="4"/>
      <c r="AF251" s="2"/>
    </row>
    <row r="252" spans="1:32" ht="16" x14ac:dyDescent="0.2">
      <c r="A252" s="3" t="s">
        <v>32</v>
      </c>
      <c r="B252" s="2" t="s">
        <v>53</v>
      </c>
      <c r="C252" s="3">
        <v>2023</v>
      </c>
      <c r="D252" s="3" t="s">
        <v>42</v>
      </c>
      <c r="E252" s="3" t="s">
        <v>35</v>
      </c>
      <c r="F252" s="4">
        <v>95</v>
      </c>
      <c r="G252" s="5">
        <v>236</v>
      </c>
      <c r="H252" s="5">
        <v>236</v>
      </c>
      <c r="I252" s="5">
        <f>IF(AND(G252&lt;&gt;"",H252&lt;&gt;""),(G252+H252)/2,"")</f>
        <v>236</v>
      </c>
      <c r="J252" s="4">
        <v>93</v>
      </c>
      <c r="K252" s="4">
        <v>93</v>
      </c>
      <c r="L252" s="4">
        <f>IF(AND(J252&lt;&gt;"",K252&lt;&gt;""),(J252+K252)/2,"")</f>
        <v>93</v>
      </c>
      <c r="M252" s="6">
        <f>IF(L252&lt;&gt;"",L252/33.7,"")</f>
        <v>2.7596439169139462</v>
      </c>
      <c r="N252" s="6">
        <f>IF(AND(I252&lt;&gt;"",F252&lt;&gt;""),I252/F252,"")</f>
        <v>2.4842105263157896</v>
      </c>
      <c r="O252" s="2" t="s">
        <v>43</v>
      </c>
      <c r="P252" s="2" t="s">
        <v>44</v>
      </c>
      <c r="Q252" s="2"/>
      <c r="R252" s="3" t="s">
        <v>51</v>
      </c>
      <c r="S252" s="3" t="s">
        <v>52</v>
      </c>
      <c r="T252" s="2"/>
      <c r="U252" s="3"/>
      <c r="V252" s="3"/>
      <c r="W252" s="3"/>
      <c r="X252" s="3"/>
      <c r="Y252" s="3" t="str">
        <f>IF(AND(U252&lt;&gt;"",V252&lt;&gt;""),U252*V252,"")</f>
        <v/>
      </c>
      <c r="Z252" s="6"/>
      <c r="AA252" s="6"/>
      <c r="AB252" s="6"/>
      <c r="AC252" s="4"/>
      <c r="AD252" s="4"/>
      <c r="AE252" s="4"/>
      <c r="AF252" s="2"/>
    </row>
    <row r="253" spans="1:32" ht="16" x14ac:dyDescent="0.2">
      <c r="A253" s="3" t="s">
        <v>32</v>
      </c>
      <c r="B253" s="2" t="s">
        <v>54</v>
      </c>
      <c r="C253" s="3">
        <v>2023</v>
      </c>
      <c r="D253" s="3" t="s">
        <v>42</v>
      </c>
      <c r="E253" s="3" t="s">
        <v>35</v>
      </c>
      <c r="F253" s="4">
        <v>82</v>
      </c>
      <c r="G253" s="5">
        <v>242</v>
      </c>
      <c r="H253" s="5">
        <v>242</v>
      </c>
      <c r="I253" s="5">
        <f>IF(AND(G253&lt;&gt;"",H253&lt;&gt;""),(G253+H253)/2,"")</f>
        <v>242</v>
      </c>
      <c r="J253" s="4">
        <v>95</v>
      </c>
      <c r="K253" s="4">
        <v>95</v>
      </c>
      <c r="L253" s="4">
        <f>IF(AND(J253&lt;&gt;"",K253&lt;&gt;""),(J253+K253)/2,"")</f>
        <v>95</v>
      </c>
      <c r="M253" s="6">
        <f>IF(L253&lt;&gt;"",L253/33.7,"")</f>
        <v>2.8189910979228485</v>
      </c>
      <c r="N253" s="6">
        <f>IF(AND(I253&lt;&gt;"",F253&lt;&gt;""),I253/F253,"")</f>
        <v>2.9512195121951219</v>
      </c>
      <c r="O253" s="2" t="s">
        <v>43</v>
      </c>
      <c r="P253" s="2" t="s">
        <v>44</v>
      </c>
      <c r="Q253" s="2"/>
      <c r="R253" s="3" t="s">
        <v>51</v>
      </c>
      <c r="S253" s="3" t="s">
        <v>52</v>
      </c>
      <c r="T253" s="2"/>
      <c r="U253" s="3"/>
      <c r="V253" s="3"/>
      <c r="W253" s="3"/>
      <c r="X253" s="3"/>
      <c r="Y253" s="3" t="str">
        <f>IF(AND(U253&lt;&gt;"",V253&lt;&gt;""),U253*V253,"")</f>
        <v/>
      </c>
      <c r="Z253" s="6"/>
      <c r="AA253" s="6"/>
      <c r="AB253" s="6"/>
      <c r="AC253" s="4"/>
      <c r="AD253" s="4"/>
      <c r="AE253" s="4"/>
      <c r="AF253" s="2"/>
    </row>
    <row r="254" spans="1:32" ht="16" x14ac:dyDescent="0.2">
      <c r="A254" s="3" t="s">
        <v>55</v>
      </c>
      <c r="B254" s="2" t="s">
        <v>56</v>
      </c>
      <c r="C254" s="3">
        <v>2023</v>
      </c>
      <c r="D254" s="3" t="s">
        <v>34</v>
      </c>
      <c r="E254" s="3" t="s">
        <v>50</v>
      </c>
      <c r="F254" s="4">
        <v>84</v>
      </c>
      <c r="G254" s="5">
        <v>235</v>
      </c>
      <c r="H254" s="5">
        <v>301</v>
      </c>
      <c r="I254" s="5">
        <f>IF(AND(G254&lt;&gt;"",H254&lt;&gt;""),(G254+H254)/2,"")</f>
        <v>268</v>
      </c>
      <c r="J254" s="4">
        <v>99</v>
      </c>
      <c r="K254" s="4">
        <v>113</v>
      </c>
      <c r="L254" s="4">
        <f>IF(AND(J254&lt;&gt;"",K254&lt;&gt;""),(J254+K254)/2,"")</f>
        <v>106</v>
      </c>
      <c r="M254" s="6">
        <f>IF(L254&lt;&gt;"",L254/33.7,"")</f>
        <v>3.1454005934718099</v>
      </c>
      <c r="N254" s="6">
        <f>IF(AND(I254&lt;&gt;"",F254&lt;&gt;""),I254/F254,"")</f>
        <v>3.1904761904761907</v>
      </c>
      <c r="O254" s="2" t="s">
        <v>43</v>
      </c>
      <c r="P254" s="2" t="s">
        <v>44</v>
      </c>
      <c r="Q254" s="2"/>
      <c r="R254" s="3" t="s">
        <v>57</v>
      </c>
      <c r="S254" s="3" t="s">
        <v>58</v>
      </c>
      <c r="T254" s="2"/>
      <c r="U254" s="3"/>
      <c r="V254" s="3"/>
      <c r="W254" s="3"/>
      <c r="X254" s="3"/>
      <c r="Y254" s="3" t="str">
        <f>IF(AND(U254&lt;&gt;"",V254&lt;&gt;""),U254*V254,"")</f>
        <v/>
      </c>
      <c r="Z254" s="6"/>
      <c r="AA254" s="6"/>
      <c r="AB254" s="6"/>
      <c r="AC254" s="4"/>
      <c r="AD254" s="4"/>
      <c r="AE254" s="4"/>
      <c r="AF254" s="2"/>
    </row>
    <row r="255" spans="1:32" ht="16" x14ac:dyDescent="0.2">
      <c r="A255" s="3" t="s">
        <v>55</v>
      </c>
      <c r="B255" s="2" t="s">
        <v>59</v>
      </c>
      <c r="C255" s="3">
        <v>2023</v>
      </c>
      <c r="D255" s="3" t="s">
        <v>34</v>
      </c>
      <c r="E255" s="3" t="s">
        <v>35</v>
      </c>
      <c r="F255" s="4">
        <v>83</v>
      </c>
      <c r="G255" s="5">
        <v>227</v>
      </c>
      <c r="H255" s="5">
        <v>271</v>
      </c>
      <c r="I255" s="5">
        <f>IF(AND(G255&lt;&gt;"",H255&lt;&gt;""),(G255+H255)/2,"")</f>
        <v>249</v>
      </c>
      <c r="J255" s="4">
        <v>80</v>
      </c>
      <c r="K255" s="4">
        <v>96</v>
      </c>
      <c r="L255" s="4">
        <f>IF(AND(J255&lt;&gt;"",K255&lt;&gt;""),(J255+K255)/2,"")</f>
        <v>88</v>
      </c>
      <c r="M255" s="6">
        <f>IF(L255&lt;&gt;"",L255/33.7,"")</f>
        <v>2.611275964391691</v>
      </c>
      <c r="N255" s="6">
        <f>IF(AND(I255&lt;&gt;"",F255&lt;&gt;""),I255/F255,"")</f>
        <v>3</v>
      </c>
      <c r="O255" s="2" t="s">
        <v>43</v>
      </c>
      <c r="P255" s="2" t="s">
        <v>44</v>
      </c>
      <c r="Q255" s="2"/>
      <c r="R255" s="3" t="s">
        <v>60</v>
      </c>
      <c r="S255" s="3" t="s">
        <v>58</v>
      </c>
      <c r="T255" s="2"/>
      <c r="U255" s="3"/>
      <c r="V255" s="3"/>
      <c r="W255" s="3"/>
      <c r="X255" s="3"/>
      <c r="Y255" s="3" t="str">
        <f>IF(AND(U255&lt;&gt;"",V255&lt;&gt;""),U255*V255,"")</f>
        <v/>
      </c>
      <c r="Z255" s="6"/>
      <c r="AA255" s="6"/>
      <c r="AB255" s="6"/>
      <c r="AC255" s="4"/>
      <c r="AD255" s="4"/>
      <c r="AE255" s="4"/>
      <c r="AF255" s="2"/>
    </row>
    <row r="256" spans="1:32" ht="16" x14ac:dyDescent="0.2">
      <c r="A256" s="3" t="s">
        <v>55</v>
      </c>
      <c r="B256" s="2" t="s">
        <v>61</v>
      </c>
      <c r="C256" s="3">
        <v>2023</v>
      </c>
      <c r="D256" s="3" t="s">
        <v>34</v>
      </c>
      <c r="E256" s="3" t="s">
        <v>35</v>
      </c>
      <c r="F256" s="4">
        <v>105</v>
      </c>
      <c r="G256" s="5">
        <v>296</v>
      </c>
      <c r="H256" s="5">
        <v>318</v>
      </c>
      <c r="I256" s="5">
        <f>IF(AND(G256&lt;&gt;"",H256&lt;&gt;""),(G256+H256)/2,"")</f>
        <v>307</v>
      </c>
      <c r="J256" s="4">
        <v>83</v>
      </c>
      <c r="K256" s="4">
        <v>89</v>
      </c>
      <c r="L256" s="4">
        <f>IF(AND(J256&lt;&gt;"",K256&lt;&gt;""),(J256+K256)/2,"")</f>
        <v>86</v>
      </c>
      <c r="M256" s="6">
        <f>IF(L256&lt;&gt;"",L256/33.7,"")</f>
        <v>2.5519287833827891</v>
      </c>
      <c r="N256" s="6">
        <f>IF(AND(I256&lt;&gt;"",F256&lt;&gt;""),I256/F256,"")</f>
        <v>2.9238095238095236</v>
      </c>
      <c r="O256" s="2" t="s">
        <v>43</v>
      </c>
      <c r="P256" s="2" t="s">
        <v>44</v>
      </c>
      <c r="Q256" s="2"/>
      <c r="R256" s="3" t="s">
        <v>62</v>
      </c>
      <c r="S256" s="3" t="s">
        <v>63</v>
      </c>
      <c r="T256" s="2"/>
      <c r="U256" s="3"/>
      <c r="V256" s="3"/>
      <c r="W256" s="3"/>
      <c r="X256" s="3"/>
      <c r="Y256" s="3" t="str">
        <f>IF(AND(U256&lt;&gt;"",V256&lt;&gt;""),U256*V256,"")</f>
        <v/>
      </c>
      <c r="Z256" s="6"/>
      <c r="AA256" s="6"/>
      <c r="AB256" s="6"/>
      <c r="AC256" s="4"/>
      <c r="AD256" s="4"/>
      <c r="AE256" s="4"/>
      <c r="AF256" s="2"/>
    </row>
    <row r="257" spans="1:32" ht="16" x14ac:dyDescent="0.2">
      <c r="A257" s="3" t="s">
        <v>55</v>
      </c>
      <c r="B257" s="2" t="s">
        <v>64</v>
      </c>
      <c r="C257" s="3">
        <v>2023</v>
      </c>
      <c r="D257" s="3" t="s">
        <v>42</v>
      </c>
      <c r="E257" s="3" t="s">
        <v>35</v>
      </c>
      <c r="F257" s="4">
        <v>111</v>
      </c>
      <c r="G257" s="5">
        <v>274</v>
      </c>
      <c r="H257" s="5">
        <v>288</v>
      </c>
      <c r="I257" s="5">
        <f>IF(AND(G257&lt;&gt;"",H257&lt;&gt;""),(G257+H257)/2,"")</f>
        <v>281</v>
      </c>
      <c r="J257" s="4">
        <v>77</v>
      </c>
      <c r="K257" s="4">
        <v>78</v>
      </c>
      <c r="L257" s="4">
        <f>IF(AND(J257&lt;&gt;"",K257&lt;&gt;""),(J257+K257)/2,"")</f>
        <v>77.5</v>
      </c>
      <c r="M257" s="6">
        <f>IF(L257&lt;&gt;"",L257/33.7,"")</f>
        <v>2.2997032640949553</v>
      </c>
      <c r="N257" s="6">
        <f>IF(AND(I257&lt;&gt;"",F257&lt;&gt;""),I257/F257,"")</f>
        <v>2.5315315315315314</v>
      </c>
      <c r="O257" s="2" t="s">
        <v>43</v>
      </c>
      <c r="P257" s="2" t="s">
        <v>44</v>
      </c>
      <c r="Q257" s="2"/>
      <c r="R257" s="3" t="s">
        <v>57</v>
      </c>
      <c r="S257" s="3" t="s">
        <v>65</v>
      </c>
      <c r="T257" s="2"/>
      <c r="U257" s="3"/>
      <c r="V257" s="3"/>
      <c r="W257" s="3"/>
      <c r="X257" s="3"/>
      <c r="Y257" s="3" t="str">
        <f>IF(AND(U257&lt;&gt;"",V257&lt;&gt;""),U257*V257,"")</f>
        <v/>
      </c>
      <c r="Z257" s="6"/>
      <c r="AA257" s="6"/>
      <c r="AB257" s="6"/>
      <c r="AC257" s="4"/>
      <c r="AD257" s="4"/>
      <c r="AE257" s="4"/>
      <c r="AF257" s="2"/>
    </row>
    <row r="258" spans="1:32" ht="16" x14ac:dyDescent="0.2">
      <c r="A258" s="3" t="s">
        <v>55</v>
      </c>
      <c r="B258" s="2" t="s">
        <v>66</v>
      </c>
      <c r="C258" s="3">
        <v>2023</v>
      </c>
      <c r="D258" s="3" t="s">
        <v>42</v>
      </c>
      <c r="E258" s="3" t="s">
        <v>35</v>
      </c>
      <c r="F258" s="4">
        <v>76</v>
      </c>
      <c r="G258" s="5">
        <v>305</v>
      </c>
      <c r="H258" s="5">
        <v>324</v>
      </c>
      <c r="I258" s="5">
        <f>IF(AND(G258&lt;&gt;"",H258&lt;&gt;""),(G258+H258)/2,"")</f>
        <v>314.5</v>
      </c>
      <c r="J258" s="4">
        <v>83</v>
      </c>
      <c r="K258" s="4">
        <v>86</v>
      </c>
      <c r="L258" s="4">
        <f>IF(AND(J258&lt;&gt;"",K258&lt;&gt;""),(J258+K258)/2,"")</f>
        <v>84.5</v>
      </c>
      <c r="M258" s="6">
        <f>IF(L258&lt;&gt;"",L258/33.7,"")</f>
        <v>2.5074183976261124</v>
      </c>
      <c r="N258" s="6">
        <f>IF(AND(I258&lt;&gt;"",F258&lt;&gt;""),I258/F258,"")</f>
        <v>4.1381578947368425</v>
      </c>
      <c r="O258" s="2" t="s">
        <v>43</v>
      </c>
      <c r="P258" s="2" t="s">
        <v>44</v>
      </c>
      <c r="Q258" s="2"/>
      <c r="R258" s="3" t="s">
        <v>57</v>
      </c>
      <c r="S258" s="3" t="s">
        <v>65</v>
      </c>
      <c r="T258" s="2"/>
      <c r="U258" s="3"/>
      <c r="V258" s="3"/>
      <c r="W258" s="3"/>
      <c r="X258" s="3"/>
      <c r="Y258" s="3" t="str">
        <f>IF(AND(U258&lt;&gt;"",V258&lt;&gt;""),U258*V258,"")</f>
        <v/>
      </c>
      <c r="Z258" s="6"/>
      <c r="AA258" s="6"/>
      <c r="AB258" s="6"/>
      <c r="AC258" s="4"/>
      <c r="AD258" s="4"/>
      <c r="AE258" s="4"/>
      <c r="AF258" s="2"/>
    </row>
    <row r="259" spans="1:32" ht="16" x14ac:dyDescent="0.2">
      <c r="A259" s="3" t="s">
        <v>67</v>
      </c>
      <c r="B259" s="2" t="s">
        <v>68</v>
      </c>
      <c r="C259" s="3">
        <v>2023</v>
      </c>
      <c r="D259" s="3" t="s">
        <v>42</v>
      </c>
      <c r="E259" s="3" t="s">
        <v>50</v>
      </c>
      <c r="F259" s="4">
        <v>119</v>
      </c>
      <c r="G259" s="5">
        <v>312</v>
      </c>
      <c r="H259" s="5">
        <v>312</v>
      </c>
      <c r="I259" s="5">
        <f>IF(AND(G259&lt;&gt;"",H259&lt;&gt;""),(G259+H259)/2,"")</f>
        <v>312</v>
      </c>
      <c r="J259" s="4">
        <v>89</v>
      </c>
      <c r="K259" s="4">
        <v>89</v>
      </c>
      <c r="L259" s="4">
        <f>IF(AND(J259&lt;&gt;"",K259&lt;&gt;""),(J259+K259)/2,"")</f>
        <v>89</v>
      </c>
      <c r="M259" s="6">
        <f>IF(L259&lt;&gt;"",L259/33.7,"")</f>
        <v>2.6409495548961424</v>
      </c>
      <c r="N259" s="6">
        <f>IF(AND(I259&lt;&gt;"",F259&lt;&gt;""),I259/F259,"")</f>
        <v>2.6218487394957983</v>
      </c>
      <c r="O259" s="2" t="s">
        <v>43</v>
      </c>
      <c r="P259" s="2" t="s">
        <v>44</v>
      </c>
      <c r="Q259" s="2"/>
      <c r="R259" s="3" t="s">
        <v>69</v>
      </c>
      <c r="S259" s="3" t="s">
        <v>70</v>
      </c>
      <c r="T259" s="2"/>
      <c r="U259" s="3"/>
      <c r="V259" s="3"/>
      <c r="W259" s="3"/>
      <c r="X259" s="3"/>
      <c r="Y259" s="3" t="str">
        <f>IF(AND(U259&lt;&gt;"",V259&lt;&gt;""),U259*V259,"")</f>
        <v/>
      </c>
      <c r="Z259" s="6"/>
      <c r="AA259" s="6"/>
      <c r="AB259" s="6"/>
      <c r="AC259" s="4"/>
      <c r="AD259" s="4"/>
      <c r="AE259" s="4"/>
      <c r="AF259" s="2"/>
    </row>
    <row r="260" spans="1:32" ht="16" x14ac:dyDescent="0.2">
      <c r="A260" s="3" t="s">
        <v>67</v>
      </c>
      <c r="B260" s="2" t="s">
        <v>71</v>
      </c>
      <c r="C260" s="3">
        <v>2023</v>
      </c>
      <c r="D260" s="3" t="s">
        <v>42</v>
      </c>
      <c r="E260" s="3" t="s">
        <v>35</v>
      </c>
      <c r="F260" s="4">
        <v>119</v>
      </c>
      <c r="G260" s="5">
        <v>307</v>
      </c>
      <c r="H260" s="5">
        <v>307</v>
      </c>
      <c r="I260" s="5">
        <f>IF(AND(G260&lt;&gt;"",H260&lt;&gt;""),(G260+H260)/2,"")</f>
        <v>307</v>
      </c>
      <c r="J260" s="4">
        <v>89</v>
      </c>
      <c r="K260" s="4">
        <v>89</v>
      </c>
      <c r="L260" s="4">
        <f>IF(AND(J260&lt;&gt;"",K260&lt;&gt;""),(J260+K260)/2,"")</f>
        <v>89</v>
      </c>
      <c r="M260" s="6">
        <f>IF(L260&lt;&gt;"",L260/33.7,"")</f>
        <v>2.6409495548961424</v>
      </c>
      <c r="N260" s="6">
        <f>IF(AND(I260&lt;&gt;"",F260&lt;&gt;""),I260/F260,"")</f>
        <v>2.5798319327731094</v>
      </c>
      <c r="O260" s="2" t="s">
        <v>43</v>
      </c>
      <c r="P260" s="2" t="s">
        <v>44</v>
      </c>
      <c r="Q260" s="2"/>
      <c r="R260" s="3" t="s">
        <v>69</v>
      </c>
      <c r="S260" s="3" t="s">
        <v>70</v>
      </c>
      <c r="T260" s="2"/>
      <c r="U260" s="3"/>
      <c r="V260" s="3"/>
      <c r="W260" s="3"/>
      <c r="X260" s="3"/>
      <c r="Y260" s="3" t="str">
        <f>IF(AND(U260&lt;&gt;"",V260&lt;&gt;""),U260*V260,"")</f>
        <v/>
      </c>
      <c r="Z260" s="6"/>
      <c r="AA260" s="6"/>
      <c r="AB260" s="6"/>
      <c r="AC260" s="4"/>
      <c r="AD260" s="4"/>
      <c r="AE260" s="4"/>
      <c r="AF260" s="2"/>
    </row>
    <row r="261" spans="1:32" ht="32" x14ac:dyDescent="0.2">
      <c r="A261" s="3" t="s">
        <v>72</v>
      </c>
      <c r="B261" s="2" t="s">
        <v>73</v>
      </c>
      <c r="C261" s="3">
        <v>2023</v>
      </c>
      <c r="D261" s="3" t="s">
        <v>34</v>
      </c>
      <c r="E261" s="3" t="s">
        <v>74</v>
      </c>
      <c r="F261" s="4">
        <v>75</v>
      </c>
      <c r="G261" s="5">
        <v>247</v>
      </c>
      <c r="H261" s="5">
        <v>247</v>
      </c>
      <c r="I261" s="5">
        <f>IF(AND(G261&lt;&gt;"",H261&lt;&gt;""),(G261+H261)/2,"")</f>
        <v>247</v>
      </c>
      <c r="J261" s="4">
        <v>115</v>
      </c>
      <c r="K261" s="4">
        <v>115</v>
      </c>
      <c r="L261" s="4">
        <f>IF(AND(J261&lt;&gt;"",K261&lt;&gt;""),(J261+K261)/2,"")</f>
        <v>115</v>
      </c>
      <c r="M261" s="6">
        <f>IF(L261&lt;&gt;"",L261/33.7,"")</f>
        <v>3.4124629080118694</v>
      </c>
      <c r="N261" s="6">
        <f>IF(AND(I261&lt;&gt;"",F261&lt;&gt;""),I261/F261,"")</f>
        <v>3.2933333333333334</v>
      </c>
      <c r="O261" s="2" t="s">
        <v>43</v>
      </c>
      <c r="P261" s="2" t="s">
        <v>44</v>
      </c>
      <c r="Q261" s="2"/>
      <c r="R261" s="3" t="s">
        <v>75</v>
      </c>
      <c r="S261" s="3" t="s">
        <v>76</v>
      </c>
      <c r="T261" s="2" t="s">
        <v>77</v>
      </c>
      <c r="U261" s="3">
        <v>96</v>
      </c>
      <c r="V261" s="3">
        <v>3</v>
      </c>
      <c r="W261" s="3"/>
      <c r="X261" s="3"/>
      <c r="Y261" s="3">
        <f>IF(AND(U261&lt;&gt;"",V261&lt;&gt;""),U261*V261,"")</f>
        <v>288</v>
      </c>
      <c r="Z261" s="6">
        <v>3.65</v>
      </c>
      <c r="AA261" s="6">
        <v>4.1669999999999998</v>
      </c>
      <c r="AB261" s="6"/>
      <c r="AC261" s="4">
        <f>U261*Z261</f>
        <v>350.4</v>
      </c>
      <c r="AD261" s="4">
        <f>U261*AA261</f>
        <v>400.03199999999998</v>
      </c>
      <c r="AE261" s="4"/>
      <c r="AF261" s="2" t="s">
        <v>78</v>
      </c>
    </row>
    <row r="262" spans="1:32" ht="32" x14ac:dyDescent="0.2">
      <c r="A262" s="3" t="s">
        <v>72</v>
      </c>
      <c r="B262" s="2" t="s">
        <v>79</v>
      </c>
      <c r="C262" s="3">
        <v>2023</v>
      </c>
      <c r="D262" s="3" t="s">
        <v>34</v>
      </c>
      <c r="E262" s="3" t="s">
        <v>74</v>
      </c>
      <c r="F262" s="4">
        <v>75</v>
      </c>
      <c r="G262" s="5">
        <v>259</v>
      </c>
      <c r="H262" s="5">
        <v>259</v>
      </c>
      <c r="I262" s="5">
        <f>IF(AND(G262&lt;&gt;"",H262&lt;&gt;""),(G262+H262)/2,"")</f>
        <v>259</v>
      </c>
      <c r="J262" s="4">
        <v>120</v>
      </c>
      <c r="K262" s="4">
        <v>120</v>
      </c>
      <c r="L262" s="4">
        <f>IF(AND(J262&lt;&gt;"",K262&lt;&gt;""),(J262+K262)/2,"")</f>
        <v>120</v>
      </c>
      <c r="M262" s="6">
        <f>IF(L262&lt;&gt;"",L262/33.7,"")</f>
        <v>3.5608308605341241</v>
      </c>
      <c r="N262" s="6">
        <f>IF(AND(I262&lt;&gt;"",F262&lt;&gt;""),I262/F262,"")</f>
        <v>3.4533333333333331</v>
      </c>
      <c r="O262" s="2" t="s">
        <v>43</v>
      </c>
      <c r="P262" s="2" t="s">
        <v>44</v>
      </c>
      <c r="Q262" s="2"/>
      <c r="R262" s="3" t="s">
        <v>75</v>
      </c>
      <c r="S262" s="3" t="s">
        <v>80</v>
      </c>
      <c r="T262" s="2" t="s">
        <v>77</v>
      </c>
      <c r="U262" s="3">
        <v>96</v>
      </c>
      <c r="V262" s="3">
        <v>3</v>
      </c>
      <c r="W262" s="3"/>
      <c r="X262" s="3"/>
      <c r="Y262" s="3">
        <f>IF(AND(U262&lt;&gt;"",V262&lt;&gt;""),U262*V262,"")</f>
        <v>288</v>
      </c>
      <c r="Z262" s="6">
        <v>3.65</v>
      </c>
      <c r="AA262" s="6">
        <v>4.1669999999999998</v>
      </c>
      <c r="AB262" s="6"/>
      <c r="AC262" s="4">
        <f>U262*Z262</f>
        <v>350.4</v>
      </c>
      <c r="AD262" s="4">
        <f>U262*AA262</f>
        <v>400.03199999999998</v>
      </c>
      <c r="AE262" s="4"/>
      <c r="AF262" s="2" t="s">
        <v>78</v>
      </c>
    </row>
    <row r="263" spans="1:32" ht="16" x14ac:dyDescent="0.2">
      <c r="A263" s="3" t="s">
        <v>81</v>
      </c>
      <c r="B263" s="2" t="s">
        <v>82</v>
      </c>
      <c r="C263" s="3">
        <v>2023</v>
      </c>
      <c r="D263" s="3" t="s">
        <v>42</v>
      </c>
      <c r="E263" s="3" t="s">
        <v>83</v>
      </c>
      <c r="F263" s="4">
        <v>113</v>
      </c>
      <c r="G263" s="5">
        <v>360</v>
      </c>
      <c r="H263" s="5">
        <v>360</v>
      </c>
      <c r="I263" s="5">
        <f>IF(AND(G263&lt;&gt;"",H263&lt;&gt;""),(G263+H263)/2,"")</f>
        <v>360</v>
      </c>
      <c r="J263" s="4">
        <v>92</v>
      </c>
      <c r="K263" s="4">
        <v>92</v>
      </c>
      <c r="L263" s="4">
        <f>IF(AND(J263&lt;&gt;"",K263&lt;&gt;""),(J263+K263)/2,"")</f>
        <v>92</v>
      </c>
      <c r="M263" s="6">
        <f>IF(L263&lt;&gt;"",L263/33.7,"")</f>
        <v>2.7299703264094952</v>
      </c>
      <c r="N263" s="6">
        <f>IF(AND(I263&lt;&gt;"",F263&lt;&gt;""),I263/F263,"")</f>
        <v>3.1858407079646018</v>
      </c>
      <c r="O263" s="2" t="s">
        <v>43</v>
      </c>
      <c r="P263" s="2" t="s">
        <v>44</v>
      </c>
      <c r="Q263" s="2"/>
      <c r="R263" s="3" t="s">
        <v>62</v>
      </c>
      <c r="S263" s="3" t="s">
        <v>63</v>
      </c>
      <c r="T263" s="2"/>
      <c r="U263" s="3"/>
      <c r="V263" s="3"/>
      <c r="W263" s="3"/>
      <c r="X263" s="3"/>
      <c r="Y263" s="3" t="str">
        <f>IF(AND(U263&lt;&gt;"",V263&lt;&gt;""),U263*V263,"")</f>
        <v/>
      </c>
      <c r="Z263" s="6"/>
      <c r="AA263" s="6"/>
      <c r="AB263" s="6"/>
      <c r="AC263" s="4"/>
      <c r="AD263" s="4"/>
      <c r="AE263" s="4"/>
      <c r="AF263" s="2"/>
    </row>
    <row r="264" spans="1:32" ht="16" x14ac:dyDescent="0.2">
      <c r="A264" s="3" t="s">
        <v>84</v>
      </c>
      <c r="B264" s="2" t="s">
        <v>85</v>
      </c>
      <c r="C264" s="3">
        <v>2023</v>
      </c>
      <c r="D264" s="3" t="s">
        <v>86</v>
      </c>
      <c r="E264" s="3" t="s">
        <v>35</v>
      </c>
      <c r="F264" s="4">
        <v>123</v>
      </c>
      <c r="G264" s="5">
        <v>240</v>
      </c>
      <c r="H264" s="5">
        <v>240</v>
      </c>
      <c r="I264" s="5">
        <f>IF(AND(G264&lt;&gt;"",H264&lt;&gt;""),(G264+H264)/2,"")</f>
        <v>240</v>
      </c>
      <c r="J264" s="4">
        <v>68</v>
      </c>
      <c r="K264" s="4">
        <v>68</v>
      </c>
      <c r="L264" s="4">
        <f>IF(AND(J264&lt;&gt;"",K264&lt;&gt;""),(J264+K264)/2,"")</f>
        <v>68</v>
      </c>
      <c r="M264" s="6">
        <f>IF(L264&lt;&gt;"",L264/33.7,"")</f>
        <v>2.0178041543026706</v>
      </c>
      <c r="N264" s="6">
        <f>IF(AND(I264&lt;&gt;"",F264&lt;&gt;""),I264/F264,"")</f>
        <v>1.9512195121951219</v>
      </c>
      <c r="O264" s="2" t="s">
        <v>43</v>
      </c>
      <c r="P264" s="2" t="s">
        <v>44</v>
      </c>
      <c r="Q264" s="2"/>
      <c r="R264" s="3" t="s">
        <v>87</v>
      </c>
      <c r="S264" s="3" t="s">
        <v>88</v>
      </c>
      <c r="T264" s="2"/>
      <c r="U264" s="3"/>
      <c r="V264" s="3"/>
      <c r="W264" s="3"/>
      <c r="X264" s="3"/>
      <c r="Y264" s="3" t="str">
        <f>IF(AND(U264&lt;&gt;"",V264&lt;&gt;""),U264*V264,"")</f>
        <v/>
      </c>
      <c r="Z264" s="6"/>
      <c r="AA264" s="6"/>
      <c r="AB264" s="6"/>
      <c r="AC264" s="4"/>
      <c r="AD264" s="4"/>
      <c r="AE264" s="4"/>
      <c r="AF264" s="2"/>
    </row>
    <row r="265" spans="1:32" ht="16" x14ac:dyDescent="0.2">
      <c r="A265" s="3" t="s">
        <v>84</v>
      </c>
      <c r="B265" s="2" t="s">
        <v>89</v>
      </c>
      <c r="C265" s="3">
        <v>2023</v>
      </c>
      <c r="D265" s="3" t="s">
        <v>86</v>
      </c>
      <c r="E265" s="3" t="s">
        <v>35</v>
      </c>
      <c r="F265" s="4">
        <v>165</v>
      </c>
      <c r="G265" s="5">
        <v>300</v>
      </c>
      <c r="H265" s="5">
        <v>320</v>
      </c>
      <c r="I265" s="5">
        <f>IF(AND(G265&lt;&gt;"",H265&lt;&gt;""),(G265+H265)/2,"")</f>
        <v>310</v>
      </c>
      <c r="J265" s="4">
        <v>66</v>
      </c>
      <c r="K265" s="4">
        <v>70</v>
      </c>
      <c r="L265" s="4">
        <f>IF(AND(J265&lt;&gt;"",K265&lt;&gt;""),(J265+K265)/2,"")</f>
        <v>68</v>
      </c>
      <c r="M265" s="6">
        <f>IF(L265&lt;&gt;"",L265/33.7,"")</f>
        <v>2.0178041543026706</v>
      </c>
      <c r="N265" s="6">
        <f>IF(AND(I265&lt;&gt;"",F265&lt;&gt;""),I265/F265,"")</f>
        <v>1.8787878787878789</v>
      </c>
      <c r="O265" s="2" t="s">
        <v>43</v>
      </c>
      <c r="P265" s="2" t="s">
        <v>44</v>
      </c>
      <c r="Q265" s="2"/>
      <c r="R265" s="3" t="s">
        <v>87</v>
      </c>
      <c r="S265" s="3" t="s">
        <v>88</v>
      </c>
      <c r="T265" s="2"/>
      <c r="U265" s="3"/>
      <c r="V265" s="3"/>
      <c r="W265" s="3"/>
      <c r="X265" s="3"/>
      <c r="Y265" s="3" t="str">
        <f>IF(AND(U265&lt;&gt;"",V265&lt;&gt;""),U265*V265,"")</f>
        <v/>
      </c>
      <c r="Z265" s="6"/>
      <c r="AA265" s="6"/>
      <c r="AB265" s="6"/>
      <c r="AC265" s="4"/>
      <c r="AD265" s="4"/>
      <c r="AE265" s="4"/>
      <c r="AF265" s="2"/>
    </row>
    <row r="266" spans="1:32" ht="16" x14ac:dyDescent="0.2">
      <c r="A266" s="3" t="s">
        <v>84</v>
      </c>
      <c r="B266" s="2" t="s">
        <v>90</v>
      </c>
      <c r="C266" s="3">
        <v>2023</v>
      </c>
      <c r="D266" s="3" t="s">
        <v>42</v>
      </c>
      <c r="E266" s="3" t="s">
        <v>35</v>
      </c>
      <c r="F266" s="4">
        <v>116</v>
      </c>
      <c r="G266" s="5">
        <v>224</v>
      </c>
      <c r="H266" s="5">
        <v>224</v>
      </c>
      <c r="I266" s="5">
        <f>IF(AND(G266&lt;&gt;"",H266&lt;&gt;""),(G266+H266)/2,"")</f>
        <v>224</v>
      </c>
      <c r="J266" s="4">
        <v>93</v>
      </c>
      <c r="K266" s="4">
        <v>93</v>
      </c>
      <c r="L266" s="4">
        <f>IF(AND(J266&lt;&gt;"",K266&lt;&gt;""),(J266+K266)/2,"")</f>
        <v>93</v>
      </c>
      <c r="M266" s="6">
        <f>IF(L266&lt;&gt;"",L266/33.7,"")</f>
        <v>2.7596439169139462</v>
      </c>
      <c r="N266" s="6">
        <f>IF(AND(I266&lt;&gt;"",F266&lt;&gt;""),I266/F266,"")</f>
        <v>1.9310344827586208</v>
      </c>
      <c r="O266" s="2" t="s">
        <v>43</v>
      </c>
      <c r="P266" s="2" t="s">
        <v>44</v>
      </c>
      <c r="Q266" s="2"/>
      <c r="R266" s="3" t="s">
        <v>91</v>
      </c>
      <c r="S266" s="3" t="s">
        <v>92</v>
      </c>
      <c r="T266" s="2"/>
      <c r="U266" s="3"/>
      <c r="V266" s="3"/>
      <c r="W266" s="3"/>
      <c r="X266" s="3"/>
      <c r="Y266" s="3" t="str">
        <f>IF(AND(U266&lt;&gt;"",V266&lt;&gt;""),U266*V266,"")</f>
        <v/>
      </c>
      <c r="Z266" s="6"/>
      <c r="AA266" s="6"/>
      <c r="AB266" s="6"/>
      <c r="AC266" s="4"/>
      <c r="AD266" s="4"/>
      <c r="AE266" s="4"/>
      <c r="AF266" s="2"/>
    </row>
    <row r="267" spans="1:32" ht="16" x14ac:dyDescent="0.2">
      <c r="A267" s="3" t="s">
        <v>84</v>
      </c>
      <c r="B267" s="2" t="s">
        <v>93</v>
      </c>
      <c r="C267" s="3">
        <v>2023</v>
      </c>
      <c r="D267" s="3" t="s">
        <v>42</v>
      </c>
      <c r="E267" s="3" t="s">
        <v>35</v>
      </c>
      <c r="F267" s="4">
        <v>116</v>
      </c>
      <c r="G267" s="5">
        <v>290</v>
      </c>
      <c r="H267" s="5">
        <v>312</v>
      </c>
      <c r="I267" s="5">
        <f>IF(AND(G267&lt;&gt;"",H267&lt;&gt;""),(G267+H267)/2,"")</f>
        <v>301</v>
      </c>
      <c r="J267" s="4">
        <v>92</v>
      </c>
      <c r="K267" s="4">
        <v>98</v>
      </c>
      <c r="L267" s="4">
        <f>IF(AND(J267&lt;&gt;"",K267&lt;&gt;""),(J267+K267)/2,"")</f>
        <v>95</v>
      </c>
      <c r="M267" s="6">
        <f>IF(L267&lt;&gt;"",L267/33.7,"")</f>
        <v>2.8189910979228485</v>
      </c>
      <c r="N267" s="6">
        <f>IF(AND(I267&lt;&gt;"",F267&lt;&gt;""),I267/F267,"")</f>
        <v>2.5948275862068964</v>
      </c>
      <c r="O267" s="2" t="s">
        <v>43</v>
      </c>
      <c r="P267" s="2" t="s">
        <v>44</v>
      </c>
      <c r="Q267" s="2"/>
      <c r="R267" s="3" t="s">
        <v>91</v>
      </c>
      <c r="S267" s="3" t="s">
        <v>92</v>
      </c>
      <c r="T267" s="2"/>
      <c r="U267" s="3"/>
      <c r="V267" s="3"/>
      <c r="W267" s="3"/>
      <c r="X267" s="3"/>
      <c r="Y267" s="3" t="str">
        <f>IF(AND(U267&lt;&gt;"",V267&lt;&gt;""),U267*V267,"")</f>
        <v/>
      </c>
      <c r="Z267" s="6"/>
      <c r="AA267" s="6"/>
      <c r="AB267" s="6"/>
      <c r="AC267" s="4"/>
      <c r="AD267" s="4"/>
      <c r="AE267" s="4"/>
      <c r="AF267" s="2"/>
    </row>
    <row r="268" spans="1:32" ht="16" x14ac:dyDescent="0.2">
      <c r="A268" s="3" t="s">
        <v>84</v>
      </c>
      <c r="B268" s="2" t="s">
        <v>94</v>
      </c>
      <c r="C268" s="3">
        <v>2023</v>
      </c>
      <c r="D268" s="3" t="s">
        <v>42</v>
      </c>
      <c r="E268" s="3" t="s">
        <v>35</v>
      </c>
      <c r="F268" s="4">
        <v>116</v>
      </c>
      <c r="G268" s="5">
        <v>260</v>
      </c>
      <c r="H268" s="5">
        <v>270</v>
      </c>
      <c r="I268" s="5">
        <f>IF(AND(G268&lt;&gt;"",H268&lt;&gt;""),(G268+H268)/2,"")</f>
        <v>265</v>
      </c>
      <c r="J268" s="4">
        <v>82</v>
      </c>
      <c r="K268" s="4">
        <v>84</v>
      </c>
      <c r="L268" s="4">
        <f>IF(AND(J268&lt;&gt;"",K268&lt;&gt;""),(J268+K268)/2,"")</f>
        <v>83</v>
      </c>
      <c r="M268" s="6">
        <f>IF(L268&lt;&gt;"",L268/33.7,"")</f>
        <v>2.4629080118694362</v>
      </c>
      <c r="N268" s="6">
        <f>IF(AND(I268&lt;&gt;"",F268&lt;&gt;""),I268/F268,"")</f>
        <v>2.2844827586206895</v>
      </c>
      <c r="O268" s="2" t="s">
        <v>43</v>
      </c>
      <c r="P268" s="2" t="s">
        <v>44</v>
      </c>
      <c r="Q268" s="2"/>
      <c r="R268" s="3" t="s">
        <v>91</v>
      </c>
      <c r="S268" s="3" t="s">
        <v>92</v>
      </c>
      <c r="T268" s="2"/>
      <c r="U268" s="3"/>
      <c r="V268" s="3"/>
      <c r="W268" s="3"/>
      <c r="X268" s="3"/>
      <c r="Y268" s="3" t="str">
        <f>IF(AND(U268&lt;&gt;"",V268&lt;&gt;""),U268*V268,"")</f>
        <v/>
      </c>
      <c r="Z268" s="6"/>
      <c r="AA268" s="6"/>
      <c r="AB268" s="6"/>
      <c r="AC268" s="4"/>
      <c r="AD268" s="4"/>
      <c r="AE268" s="4"/>
      <c r="AF268" s="2"/>
    </row>
    <row r="269" spans="1:32" ht="16" x14ac:dyDescent="0.2">
      <c r="A269" s="3" t="s">
        <v>84</v>
      </c>
      <c r="B269" s="2" t="s">
        <v>95</v>
      </c>
      <c r="C269" s="3">
        <v>2023</v>
      </c>
      <c r="D269" s="3" t="s">
        <v>42</v>
      </c>
      <c r="E269" s="3" t="s">
        <v>50</v>
      </c>
      <c r="F269" s="4">
        <v>116</v>
      </c>
      <c r="G269" s="5">
        <v>310</v>
      </c>
      <c r="H269" s="5">
        <v>310</v>
      </c>
      <c r="I269" s="5">
        <f>IF(AND(G269&lt;&gt;"",H269&lt;&gt;""),(G269+H269)/2,"")</f>
        <v>310</v>
      </c>
      <c r="J269" s="4">
        <v>99</v>
      </c>
      <c r="K269" s="4">
        <v>99</v>
      </c>
      <c r="L269" s="4">
        <f>IF(AND(J269&lt;&gt;"",K269&lt;&gt;""),(J269+K269)/2,"")</f>
        <v>99</v>
      </c>
      <c r="M269" s="6">
        <f>IF(L269&lt;&gt;"",L269/33.7,"")</f>
        <v>2.9376854599406528</v>
      </c>
      <c r="N269" s="6">
        <f>IF(AND(I269&lt;&gt;"",F269&lt;&gt;""),I269/F269,"")</f>
        <v>2.6724137931034484</v>
      </c>
      <c r="O269" s="2" t="s">
        <v>43</v>
      </c>
      <c r="P269" s="2" t="s">
        <v>44</v>
      </c>
      <c r="Q269" s="2"/>
      <c r="R269" s="3" t="s">
        <v>91</v>
      </c>
      <c r="S269" s="3" t="s">
        <v>92</v>
      </c>
      <c r="T269" s="2"/>
      <c r="U269" s="3"/>
      <c r="V269" s="3"/>
      <c r="W269" s="3"/>
      <c r="X269" s="3"/>
      <c r="Y269" s="3" t="str">
        <f>IF(AND(U269&lt;&gt;"",V269&lt;&gt;""),U269*V269,"")</f>
        <v/>
      </c>
      <c r="Z269" s="6"/>
      <c r="AA269" s="6"/>
      <c r="AB269" s="6"/>
      <c r="AC269" s="4"/>
      <c r="AD269" s="4"/>
      <c r="AE269" s="4"/>
      <c r="AF269" s="2"/>
    </row>
    <row r="270" spans="1:32" ht="16" x14ac:dyDescent="0.2">
      <c r="A270" s="3" t="s">
        <v>84</v>
      </c>
      <c r="B270" s="2" t="s">
        <v>96</v>
      </c>
      <c r="C270" s="3">
        <v>2023</v>
      </c>
      <c r="D270" s="3" t="s">
        <v>42</v>
      </c>
      <c r="E270" s="3" t="s">
        <v>50</v>
      </c>
      <c r="F270" s="4">
        <v>91</v>
      </c>
      <c r="G270" s="5">
        <v>247</v>
      </c>
      <c r="H270" s="5">
        <v>250</v>
      </c>
      <c r="I270" s="5">
        <f>IF(AND(G270&lt;&gt;"",H270&lt;&gt;""),(G270+H270)/2,"")</f>
        <v>248.5</v>
      </c>
      <c r="J270" s="4">
        <v>101</v>
      </c>
      <c r="K270" s="4">
        <v>103</v>
      </c>
      <c r="L270" s="4">
        <f>IF(AND(J270&lt;&gt;"",K270&lt;&gt;""),(J270+K270)/2,"")</f>
        <v>102</v>
      </c>
      <c r="M270" s="6">
        <f>IF(L270&lt;&gt;"",L270/33.7,"")</f>
        <v>3.0267062314540056</v>
      </c>
      <c r="N270" s="6">
        <f>IF(AND(I270&lt;&gt;"",F270&lt;&gt;""),I270/F270,"")</f>
        <v>2.7307692307692308</v>
      </c>
      <c r="O270" s="2" t="s">
        <v>43</v>
      </c>
      <c r="P270" s="2" t="s">
        <v>44</v>
      </c>
      <c r="Q270" s="2"/>
      <c r="R270" s="3" t="s">
        <v>91</v>
      </c>
      <c r="S270" s="3" t="s">
        <v>92</v>
      </c>
      <c r="T270" s="2"/>
      <c r="U270" s="3"/>
      <c r="V270" s="3"/>
      <c r="W270" s="3"/>
      <c r="X270" s="3"/>
      <c r="Y270" s="3" t="str">
        <f>IF(AND(U270&lt;&gt;"",V270&lt;&gt;""),U270*V270,"")</f>
        <v/>
      </c>
      <c r="Z270" s="6"/>
      <c r="AA270" s="6"/>
      <c r="AB270" s="6"/>
      <c r="AC270" s="4"/>
      <c r="AD270" s="4"/>
      <c r="AE270" s="4"/>
      <c r="AF270" s="2"/>
    </row>
    <row r="271" spans="1:32" ht="16" x14ac:dyDescent="0.2">
      <c r="A271" s="3" t="s">
        <v>97</v>
      </c>
      <c r="B271" s="2" t="s">
        <v>98</v>
      </c>
      <c r="C271" s="3">
        <v>2023</v>
      </c>
      <c r="D271" s="3" t="s">
        <v>34</v>
      </c>
      <c r="E271" s="3" t="s">
        <v>35</v>
      </c>
      <c r="F271" s="4">
        <v>87</v>
      </c>
      <c r="G271" s="5">
        <v>282</v>
      </c>
      <c r="H271" s="5">
        <v>282</v>
      </c>
      <c r="I271" s="5">
        <f>IF(AND(G271&lt;&gt;"",H271&lt;&gt;""),(G271+H271)/2,"")</f>
        <v>282</v>
      </c>
      <c r="J271" s="4">
        <v>97</v>
      </c>
      <c r="K271" s="4">
        <v>97</v>
      </c>
      <c r="L271" s="4">
        <f>IF(AND(J271&lt;&gt;"",K271&lt;&gt;""),(J271+K271)/2,"")</f>
        <v>97</v>
      </c>
      <c r="M271" s="6">
        <f>IF(L271&lt;&gt;"",L271/33.7,"")</f>
        <v>2.8783382789317504</v>
      </c>
      <c r="N271" s="6">
        <f>IF(AND(I271&lt;&gt;"",F271&lt;&gt;""),I271/F271,"")</f>
        <v>3.2413793103448274</v>
      </c>
      <c r="O271" s="2" t="s">
        <v>43</v>
      </c>
      <c r="P271" s="2" t="s">
        <v>44</v>
      </c>
      <c r="Q271" s="2"/>
      <c r="R271" s="3" t="s">
        <v>62</v>
      </c>
      <c r="S271" s="3" t="s">
        <v>63</v>
      </c>
      <c r="T271" s="2"/>
      <c r="U271" s="3"/>
      <c r="V271" s="3"/>
      <c r="W271" s="3"/>
      <c r="X271" s="3"/>
      <c r="Y271" s="3" t="str">
        <f>IF(AND(U271&lt;&gt;"",V271&lt;&gt;""),U271*V271,"")</f>
        <v/>
      </c>
      <c r="Z271" s="6"/>
      <c r="AA271" s="6"/>
      <c r="AB271" s="6"/>
      <c r="AC271" s="4"/>
      <c r="AD271" s="4"/>
      <c r="AE271" s="4"/>
      <c r="AF271" s="2"/>
    </row>
    <row r="272" spans="1:32" ht="112" x14ac:dyDescent="0.2">
      <c r="A272" s="3" t="s">
        <v>97</v>
      </c>
      <c r="B272" s="2" t="s">
        <v>99</v>
      </c>
      <c r="C272" s="3">
        <v>2023</v>
      </c>
      <c r="D272" s="3" t="s">
        <v>34</v>
      </c>
      <c r="E272" s="3" t="s">
        <v>35</v>
      </c>
      <c r="F272" s="4">
        <v>77</v>
      </c>
      <c r="G272" s="5">
        <v>248</v>
      </c>
      <c r="H272" s="5">
        <v>248</v>
      </c>
      <c r="I272" s="5">
        <f>IF(AND(G272&lt;&gt;"",H272&lt;&gt;""),(G272+H272)/2,"")</f>
        <v>248</v>
      </c>
      <c r="J272" s="4">
        <v>95</v>
      </c>
      <c r="K272" s="4">
        <v>95</v>
      </c>
      <c r="L272" s="4">
        <f>IF(AND(J272&lt;&gt;"",K272&lt;&gt;""),(J272+K272)/2,"")</f>
        <v>95</v>
      </c>
      <c r="M272" s="6">
        <f>IF(L272&lt;&gt;"",L272/33.7,"")</f>
        <v>2.8189910979228485</v>
      </c>
      <c r="N272" s="6">
        <f>IF(AND(I272&lt;&gt;"",F272&lt;&gt;""),I272/F272,"")</f>
        <v>3.220779220779221</v>
      </c>
      <c r="O272" s="2" t="s">
        <v>36</v>
      </c>
      <c r="P272" s="2" t="s">
        <v>37</v>
      </c>
      <c r="Q272" s="2" t="s">
        <v>100</v>
      </c>
      <c r="R272" s="3" t="s">
        <v>62</v>
      </c>
      <c r="S272" s="3" t="s">
        <v>63</v>
      </c>
      <c r="T272" s="2"/>
      <c r="U272" s="3"/>
      <c r="V272" s="3"/>
      <c r="W272" s="3"/>
      <c r="X272" s="3"/>
      <c r="Y272" s="3" t="str">
        <f>IF(AND(U272&lt;&gt;"",V272&lt;&gt;""),U272*V272,"")</f>
        <v/>
      </c>
      <c r="Z272" s="6"/>
      <c r="AA272" s="6"/>
      <c r="AB272" s="6"/>
      <c r="AC272" s="4"/>
      <c r="AD272" s="4"/>
      <c r="AE272" s="4"/>
      <c r="AF272" s="2"/>
    </row>
    <row r="273" spans="1:32" ht="112" x14ac:dyDescent="0.2">
      <c r="A273" s="3" t="s">
        <v>97</v>
      </c>
      <c r="B273" s="2" t="s">
        <v>101</v>
      </c>
      <c r="C273" s="3">
        <v>2023</v>
      </c>
      <c r="D273" s="3" t="s">
        <v>34</v>
      </c>
      <c r="E273" s="3" t="s">
        <v>35</v>
      </c>
      <c r="F273" s="4">
        <v>77</v>
      </c>
      <c r="G273" s="5">
        <v>235</v>
      </c>
      <c r="H273" s="5">
        <v>235</v>
      </c>
      <c r="I273" s="5">
        <f>IF(AND(G273&lt;&gt;"",H273&lt;&gt;""),(G273+H273)/2,"")</f>
        <v>235</v>
      </c>
      <c r="J273" s="4">
        <v>90</v>
      </c>
      <c r="K273" s="4">
        <v>90</v>
      </c>
      <c r="L273" s="4">
        <f>IF(AND(J273&lt;&gt;"",K273&lt;&gt;""),(J273+K273)/2,"")</f>
        <v>90</v>
      </c>
      <c r="M273" s="6">
        <f>IF(L273&lt;&gt;"",L273/33.7,"")</f>
        <v>2.6706231454005933</v>
      </c>
      <c r="N273" s="6">
        <f>IF(AND(I273&lt;&gt;"",F273&lt;&gt;""),I273/F273,"")</f>
        <v>3.051948051948052</v>
      </c>
      <c r="O273" s="2" t="s">
        <v>36</v>
      </c>
      <c r="P273" s="2" t="s">
        <v>37</v>
      </c>
      <c r="Q273" s="2" t="s">
        <v>100</v>
      </c>
      <c r="R273" s="3" t="s">
        <v>62</v>
      </c>
      <c r="S273" s="3" t="s">
        <v>63</v>
      </c>
      <c r="T273" s="2"/>
      <c r="U273" s="3"/>
      <c r="V273" s="3"/>
      <c r="W273" s="3"/>
      <c r="X273" s="3"/>
      <c r="Y273" s="3" t="str">
        <f>IF(AND(U273&lt;&gt;"",V273&lt;&gt;""),U273*V273,"")</f>
        <v/>
      </c>
      <c r="Z273" s="6"/>
      <c r="AA273" s="6"/>
      <c r="AB273" s="6"/>
      <c r="AC273" s="4"/>
      <c r="AD273" s="4"/>
      <c r="AE273" s="4"/>
      <c r="AF273" s="2"/>
    </row>
    <row r="274" spans="1:32" ht="112" x14ac:dyDescent="0.2">
      <c r="A274" s="3" t="s">
        <v>102</v>
      </c>
      <c r="B274" s="2" t="s">
        <v>103</v>
      </c>
      <c r="C274" s="3">
        <v>2023</v>
      </c>
      <c r="D274" s="3" t="s">
        <v>34</v>
      </c>
      <c r="E274" s="3" t="s">
        <v>35</v>
      </c>
      <c r="F274" s="4">
        <v>77</v>
      </c>
      <c r="G274" s="5">
        <v>270</v>
      </c>
      <c r="H274" s="5">
        <v>316</v>
      </c>
      <c r="I274" s="5">
        <f>IF(AND(G274&lt;&gt;"",H274&lt;&gt;""),(G274+H274)/2,"")</f>
        <v>293</v>
      </c>
      <c r="J274" s="4">
        <v>103</v>
      </c>
      <c r="K274" s="4">
        <v>121</v>
      </c>
      <c r="L274" s="4">
        <f>IF(AND(J274&lt;&gt;"",K274&lt;&gt;""),(J274+K274)/2,"")</f>
        <v>112</v>
      </c>
      <c r="M274" s="6">
        <f>IF(L274&lt;&gt;"",L274/33.7,"")</f>
        <v>3.3234421364985161</v>
      </c>
      <c r="N274" s="6">
        <f>IF(AND(I274&lt;&gt;"",F274&lt;&gt;""),I274/F274,"")</f>
        <v>3.8051948051948052</v>
      </c>
      <c r="O274" s="2" t="s">
        <v>36</v>
      </c>
      <c r="P274" s="2" t="s">
        <v>37</v>
      </c>
      <c r="Q274" s="2" t="s">
        <v>100</v>
      </c>
      <c r="R274" s="3" t="s">
        <v>62</v>
      </c>
      <c r="S274" s="3" t="s">
        <v>63</v>
      </c>
      <c r="T274" s="2"/>
      <c r="U274" s="3"/>
      <c r="V274" s="3"/>
      <c r="W274" s="3"/>
      <c r="X274" s="3"/>
      <c r="Y274" s="3" t="str">
        <f>IF(AND(U274&lt;&gt;"",V274&lt;&gt;""),U274*V274,"")</f>
        <v/>
      </c>
      <c r="Z274" s="6"/>
      <c r="AA274" s="6"/>
      <c r="AB274" s="6"/>
      <c r="AC274" s="4"/>
      <c r="AD274" s="4"/>
      <c r="AE274" s="4"/>
      <c r="AF274" s="2"/>
    </row>
    <row r="275" spans="1:32" ht="112" x14ac:dyDescent="0.2">
      <c r="A275" s="3" t="s">
        <v>102</v>
      </c>
      <c r="B275" s="2" t="s">
        <v>104</v>
      </c>
      <c r="C275" s="3">
        <v>2023</v>
      </c>
      <c r="D275" s="3" t="s">
        <v>34</v>
      </c>
      <c r="E275" s="3" t="s">
        <v>50</v>
      </c>
      <c r="F275" s="4">
        <v>77</v>
      </c>
      <c r="G275" s="5">
        <v>305</v>
      </c>
      <c r="H275" s="5">
        <v>361</v>
      </c>
      <c r="I275" s="5">
        <f>IF(AND(G275&lt;&gt;"",H275&lt;&gt;""),(G275+H275)/2,"")</f>
        <v>333</v>
      </c>
      <c r="J275" s="4">
        <v>117</v>
      </c>
      <c r="K275" s="4">
        <v>140</v>
      </c>
      <c r="L275" s="4">
        <f>IF(AND(J275&lt;&gt;"",K275&lt;&gt;""),(J275+K275)/2,"")</f>
        <v>128.5</v>
      </c>
      <c r="M275" s="6">
        <f>IF(L275&lt;&gt;"",L275/33.7,"")</f>
        <v>3.8130563798219583</v>
      </c>
      <c r="N275" s="6">
        <f>IF(AND(I275&lt;&gt;"",F275&lt;&gt;""),I275/F275,"")</f>
        <v>4.3246753246753249</v>
      </c>
      <c r="O275" s="2" t="s">
        <v>36</v>
      </c>
      <c r="P275" s="2" t="s">
        <v>37</v>
      </c>
      <c r="Q275" s="2" t="s">
        <v>100</v>
      </c>
      <c r="R275" s="3" t="s">
        <v>62</v>
      </c>
      <c r="S275" s="3" t="s">
        <v>63</v>
      </c>
      <c r="T275" s="2"/>
      <c r="U275" s="3"/>
      <c r="V275" s="3"/>
      <c r="W275" s="3"/>
      <c r="X275" s="3"/>
      <c r="Y275" s="3" t="str">
        <f>IF(AND(U275&lt;&gt;"",V275&lt;&gt;""),U275*V275,"")</f>
        <v/>
      </c>
      <c r="Z275" s="6"/>
      <c r="AA275" s="6"/>
      <c r="AB275" s="6"/>
      <c r="AC275" s="4"/>
      <c r="AD275" s="4"/>
      <c r="AE275" s="4"/>
      <c r="AF275" s="2"/>
    </row>
    <row r="276" spans="1:32" ht="112" x14ac:dyDescent="0.2">
      <c r="A276" s="3" t="s">
        <v>102</v>
      </c>
      <c r="B276" s="2" t="s">
        <v>105</v>
      </c>
      <c r="C276" s="3">
        <v>2023</v>
      </c>
      <c r="D276" s="3" t="s">
        <v>34</v>
      </c>
      <c r="E276" s="3" t="s">
        <v>50</v>
      </c>
      <c r="F276" s="4">
        <v>53</v>
      </c>
      <c r="G276" s="5">
        <v>240</v>
      </c>
      <c r="H276" s="5">
        <v>240</v>
      </c>
      <c r="I276" s="5">
        <f>IF(AND(G276&lt;&gt;"",H276&lt;&gt;""),(G276+H276)/2,"")</f>
        <v>240</v>
      </c>
      <c r="J276" s="4">
        <v>135</v>
      </c>
      <c r="K276" s="4">
        <v>135</v>
      </c>
      <c r="L276" s="4">
        <f>IF(AND(J276&lt;&gt;"",K276&lt;&gt;""),(J276+K276)/2,"")</f>
        <v>135</v>
      </c>
      <c r="M276" s="6">
        <f>IF(L276&lt;&gt;"",L276/33.7,"")</f>
        <v>4.0059347181008897</v>
      </c>
      <c r="N276" s="6">
        <f>IF(AND(I276&lt;&gt;"",F276&lt;&gt;""),I276/F276,"")</f>
        <v>4.5283018867924527</v>
      </c>
      <c r="O276" s="2" t="s">
        <v>36</v>
      </c>
      <c r="P276" s="2" t="s">
        <v>37</v>
      </c>
      <c r="Q276" s="2" t="s">
        <v>100</v>
      </c>
      <c r="R276" s="3" t="s">
        <v>62</v>
      </c>
      <c r="S276" s="3" t="s">
        <v>63</v>
      </c>
      <c r="T276" s="2"/>
      <c r="U276" s="3"/>
      <c r="V276" s="3"/>
      <c r="W276" s="3"/>
      <c r="X276" s="3"/>
      <c r="Y276" s="3" t="str">
        <f>IF(AND(U276&lt;&gt;"",V276&lt;&gt;""),U276*V276,"")</f>
        <v/>
      </c>
      <c r="Z276" s="6"/>
      <c r="AA276" s="6"/>
      <c r="AB276" s="6"/>
      <c r="AC276" s="4"/>
      <c r="AD276" s="4"/>
      <c r="AE276" s="4"/>
      <c r="AF276" s="2"/>
    </row>
    <row r="277" spans="1:32" ht="16" x14ac:dyDescent="0.2">
      <c r="A277" s="3" t="s">
        <v>102</v>
      </c>
      <c r="B277" s="2" t="s">
        <v>106</v>
      </c>
      <c r="C277" s="3">
        <v>2023</v>
      </c>
      <c r="D277" s="3" t="s">
        <v>42</v>
      </c>
      <c r="E277" s="3" t="s">
        <v>74</v>
      </c>
      <c r="F277" s="4">
        <v>64</v>
      </c>
      <c r="G277" s="5">
        <v>258</v>
      </c>
      <c r="H277" s="5">
        <v>258</v>
      </c>
      <c r="I277" s="5">
        <f>IF(AND(G277&lt;&gt;"",H277&lt;&gt;""),(G277+H277)/2,"")</f>
        <v>258</v>
      </c>
      <c r="J277" s="4">
        <v>120</v>
      </c>
      <c r="K277" s="4">
        <v>120</v>
      </c>
      <c r="L277" s="4">
        <f>IF(AND(J277&lt;&gt;"",K277&lt;&gt;""),(J277+K277)/2,"")</f>
        <v>120</v>
      </c>
      <c r="M277" s="6">
        <f>IF(L277&lt;&gt;"",L277/33.7,"")</f>
        <v>3.5608308605341241</v>
      </c>
      <c r="N277" s="6">
        <f>IF(AND(I277&lt;&gt;"",F277&lt;&gt;""),I277/F277,"")</f>
        <v>4.03125</v>
      </c>
      <c r="O277" s="2" t="s">
        <v>43</v>
      </c>
      <c r="P277" s="2" t="s">
        <v>44</v>
      </c>
      <c r="Q277" s="2"/>
      <c r="R277" s="3" t="s">
        <v>107</v>
      </c>
      <c r="S277" s="3" t="s">
        <v>108</v>
      </c>
      <c r="T277" s="2"/>
      <c r="U277" s="3"/>
      <c r="V277" s="3"/>
      <c r="W277" s="3"/>
      <c r="X277" s="3"/>
      <c r="Y277" s="3" t="str">
        <f>IF(AND(U277&lt;&gt;"",V277&lt;&gt;""),U277*V277,"")</f>
        <v/>
      </c>
      <c r="Z277" s="6"/>
      <c r="AA277" s="6"/>
      <c r="AB277" s="6"/>
      <c r="AC277" s="4"/>
      <c r="AD277" s="4"/>
      <c r="AE277" s="4"/>
      <c r="AF277" s="2"/>
    </row>
    <row r="278" spans="1:32" ht="16" x14ac:dyDescent="0.2">
      <c r="A278" s="3" t="s">
        <v>109</v>
      </c>
      <c r="B278" s="2" t="s">
        <v>110</v>
      </c>
      <c r="C278" s="3">
        <v>2023</v>
      </c>
      <c r="D278" s="3" t="s">
        <v>42</v>
      </c>
      <c r="E278" s="3" t="s">
        <v>111</v>
      </c>
      <c r="F278" s="4">
        <v>86</v>
      </c>
      <c r="G278" s="5">
        <v>217</v>
      </c>
      <c r="H278" s="5">
        <v>246</v>
      </c>
      <c r="I278" s="5">
        <f>IF(AND(G278&lt;&gt;"",H278&lt;&gt;""),(G278+H278)/2,"")</f>
        <v>231.5</v>
      </c>
      <c r="J278" s="4">
        <v>76</v>
      </c>
      <c r="K278" s="4">
        <v>85</v>
      </c>
      <c r="L278" s="4">
        <f>IF(AND(J278&lt;&gt;"",K278&lt;&gt;""),(J278+K278)/2,"")</f>
        <v>80.5</v>
      </c>
      <c r="M278" s="6">
        <f>IF(L278&lt;&gt;"",L278/33.7,"")</f>
        <v>2.3887240356083086</v>
      </c>
      <c r="N278" s="6">
        <f>IF(AND(I278&lt;&gt;"",F278&lt;&gt;""),I278/F278,"")</f>
        <v>2.691860465116279</v>
      </c>
      <c r="O278" s="2" t="s">
        <v>43</v>
      </c>
      <c r="P278" s="2" t="s">
        <v>44</v>
      </c>
      <c r="Q278" s="2"/>
      <c r="R278" s="3" t="s">
        <v>112</v>
      </c>
      <c r="S278" s="3" t="s">
        <v>113</v>
      </c>
      <c r="T278" s="2"/>
      <c r="U278" s="3"/>
      <c r="V278" s="3"/>
      <c r="W278" s="3"/>
      <c r="X278" s="3"/>
      <c r="Y278" s="3" t="str">
        <f>IF(AND(U278&lt;&gt;"",V278&lt;&gt;""),U278*V278,"")</f>
        <v/>
      </c>
      <c r="Z278" s="6"/>
      <c r="AA278" s="6"/>
      <c r="AB278" s="6"/>
      <c r="AC278" s="4"/>
      <c r="AD278" s="4"/>
      <c r="AE278" s="4"/>
      <c r="AF278" s="2"/>
    </row>
    <row r="279" spans="1:32" ht="112" x14ac:dyDescent="0.2">
      <c r="A279" s="3" t="s">
        <v>114</v>
      </c>
      <c r="B279" s="2" t="s">
        <v>115</v>
      </c>
      <c r="C279" s="3">
        <v>2023</v>
      </c>
      <c r="D279" s="3" t="s">
        <v>34</v>
      </c>
      <c r="E279" s="3" t="s">
        <v>35</v>
      </c>
      <c r="F279" s="4">
        <v>77</v>
      </c>
      <c r="G279" s="5">
        <v>206</v>
      </c>
      <c r="H279" s="5">
        <v>206</v>
      </c>
      <c r="I279" s="5">
        <f>IF(AND(G279&lt;&gt;"",H279&lt;&gt;""),(G279+H279)/2,"")</f>
        <v>206</v>
      </c>
      <c r="J279" s="4">
        <v>79</v>
      </c>
      <c r="K279" s="4">
        <v>79</v>
      </c>
      <c r="L279" s="4">
        <f>IF(AND(J279&lt;&gt;"",K279&lt;&gt;""),(J279+K279)/2,"")</f>
        <v>79</v>
      </c>
      <c r="M279" s="6">
        <f>IF(L279&lt;&gt;"",L279/33.7,"")</f>
        <v>2.3442136498516319</v>
      </c>
      <c r="N279" s="6">
        <f>IF(AND(I279&lt;&gt;"",F279&lt;&gt;""),I279/F279,"")</f>
        <v>2.6753246753246751</v>
      </c>
      <c r="O279" s="2" t="s">
        <v>36</v>
      </c>
      <c r="P279" s="2" t="s">
        <v>37</v>
      </c>
      <c r="Q279" s="2" t="s">
        <v>100</v>
      </c>
      <c r="R279" s="3" t="s">
        <v>116</v>
      </c>
      <c r="S279" s="3" t="s">
        <v>117</v>
      </c>
      <c r="T279" s="2" t="s">
        <v>118</v>
      </c>
      <c r="U279" s="3">
        <v>192</v>
      </c>
      <c r="V279" s="3">
        <v>2</v>
      </c>
      <c r="W279" s="3"/>
      <c r="X279" s="3"/>
      <c r="Y279" s="3">
        <f>IF(AND(U279&lt;&gt;"",V279&lt;&gt;""),U279*V279,"")</f>
        <v>384</v>
      </c>
      <c r="Z279" s="6">
        <v>3.63</v>
      </c>
      <c r="AA279" s="6">
        <v>4.197916666666667</v>
      </c>
      <c r="AB279" s="6">
        <v>2.5</v>
      </c>
      <c r="AC279" s="4">
        <f>U279*Z279</f>
        <v>696.96</v>
      </c>
      <c r="AD279" s="4">
        <f>U279*AA279</f>
        <v>806</v>
      </c>
      <c r="AE279" s="4">
        <f>U279*AB279</f>
        <v>480</v>
      </c>
      <c r="AF279" s="2" t="s">
        <v>119</v>
      </c>
    </row>
    <row r="280" spans="1:32" ht="112" x14ac:dyDescent="0.2">
      <c r="A280" s="3" t="s">
        <v>114</v>
      </c>
      <c r="B280" s="2" t="s">
        <v>120</v>
      </c>
      <c r="C280" s="3">
        <v>2023</v>
      </c>
      <c r="D280" s="3" t="s">
        <v>34</v>
      </c>
      <c r="E280" s="3" t="s">
        <v>35</v>
      </c>
      <c r="F280" s="4">
        <v>77</v>
      </c>
      <c r="G280" s="5">
        <v>252</v>
      </c>
      <c r="H280" s="5">
        <v>282</v>
      </c>
      <c r="I280" s="5">
        <f>IF(AND(G280&lt;&gt;"",H280&lt;&gt;""),(G280+H280)/2,"")</f>
        <v>267</v>
      </c>
      <c r="J280" s="4">
        <v>96</v>
      </c>
      <c r="K280" s="4">
        <v>109</v>
      </c>
      <c r="L280" s="4">
        <f>IF(AND(J280&lt;&gt;"",K280&lt;&gt;""),(J280+K280)/2,"")</f>
        <v>102.5</v>
      </c>
      <c r="M280" s="6">
        <f>IF(L280&lt;&gt;"",L280/33.7,"")</f>
        <v>3.0415430267062313</v>
      </c>
      <c r="N280" s="6">
        <f>IF(AND(I280&lt;&gt;"",F280&lt;&gt;""),I280/F280,"")</f>
        <v>3.4675324675324677</v>
      </c>
      <c r="O280" s="2" t="s">
        <v>36</v>
      </c>
      <c r="P280" s="2" t="s">
        <v>37</v>
      </c>
      <c r="Q280" s="2" t="s">
        <v>100</v>
      </c>
      <c r="R280" s="3" t="s">
        <v>116</v>
      </c>
      <c r="S280" s="3" t="s">
        <v>121</v>
      </c>
      <c r="T280" s="2" t="s">
        <v>118</v>
      </c>
      <c r="U280" s="3">
        <v>192</v>
      </c>
      <c r="V280" s="3">
        <v>2</v>
      </c>
      <c r="W280" s="3"/>
      <c r="X280" s="3"/>
      <c r="Y280" s="3">
        <f>IF(AND(U280&lt;&gt;"",V280&lt;&gt;""),U280*V280,"")</f>
        <v>384</v>
      </c>
      <c r="Z280" s="6">
        <v>3.63</v>
      </c>
      <c r="AA280" s="6">
        <v>4.197916666666667</v>
      </c>
      <c r="AB280" s="6">
        <v>2.5</v>
      </c>
      <c r="AC280" s="4">
        <f>U280*Z280</f>
        <v>696.96</v>
      </c>
      <c r="AD280" s="4">
        <f>U280*AA280</f>
        <v>806</v>
      </c>
      <c r="AE280" s="4">
        <f>U280*AB280</f>
        <v>480</v>
      </c>
      <c r="AF280" s="2" t="s">
        <v>119</v>
      </c>
    </row>
    <row r="281" spans="1:32" ht="112" x14ac:dyDescent="0.2">
      <c r="A281" s="3" t="s">
        <v>114</v>
      </c>
      <c r="B281" s="2" t="s">
        <v>122</v>
      </c>
      <c r="C281" s="3">
        <v>2023</v>
      </c>
      <c r="D281" s="3" t="s">
        <v>34</v>
      </c>
      <c r="E281" s="3" t="s">
        <v>50</v>
      </c>
      <c r="F281" s="4">
        <v>77</v>
      </c>
      <c r="G281" s="5">
        <v>232</v>
      </c>
      <c r="H281" s="5">
        <v>310</v>
      </c>
      <c r="I281" s="5">
        <f>IF(AND(G281&lt;&gt;"",H281&lt;&gt;""),(G281+H281)/2,"")</f>
        <v>271</v>
      </c>
      <c r="J281" s="4">
        <v>117</v>
      </c>
      <c r="K281" s="4">
        <v>117</v>
      </c>
      <c r="L281" s="4">
        <f>IF(AND(J281&lt;&gt;"",K281&lt;&gt;""),(J281+K281)/2,"")</f>
        <v>117</v>
      </c>
      <c r="M281" s="6">
        <f>IF(L281&lt;&gt;"",L281/33.7,"")</f>
        <v>3.4718100890207713</v>
      </c>
      <c r="N281" s="6">
        <f>IF(AND(I281&lt;&gt;"",F281&lt;&gt;""),I281/F281,"")</f>
        <v>3.5194805194805197</v>
      </c>
      <c r="O281" s="2" t="s">
        <v>36</v>
      </c>
      <c r="P281" s="2" t="s">
        <v>37</v>
      </c>
      <c r="Q281" s="2" t="s">
        <v>100</v>
      </c>
      <c r="R281" s="3" t="s">
        <v>116</v>
      </c>
      <c r="S281" s="3" t="s">
        <v>117</v>
      </c>
      <c r="T281" s="2" t="s">
        <v>118</v>
      </c>
      <c r="U281" s="3">
        <v>192</v>
      </c>
      <c r="V281" s="3">
        <v>2</v>
      </c>
      <c r="W281" s="3"/>
      <c r="X281" s="3"/>
      <c r="Y281" s="3">
        <f>IF(AND(U281&lt;&gt;"",V281&lt;&gt;""),U281*V281,"")</f>
        <v>384</v>
      </c>
      <c r="Z281" s="6">
        <v>3.63</v>
      </c>
      <c r="AA281" s="6">
        <v>4.197916666666667</v>
      </c>
      <c r="AB281" s="6">
        <v>2.5</v>
      </c>
      <c r="AC281" s="4">
        <f>U281*Z281</f>
        <v>696.96</v>
      </c>
      <c r="AD281" s="4">
        <f>U281*AA281</f>
        <v>806</v>
      </c>
      <c r="AE281" s="4">
        <f>U281*AB281</f>
        <v>480</v>
      </c>
      <c r="AF281" s="2" t="s">
        <v>119</v>
      </c>
    </row>
    <row r="282" spans="1:32" ht="16" x14ac:dyDescent="0.2">
      <c r="A282" s="3" t="s">
        <v>114</v>
      </c>
      <c r="B282" s="2" t="s">
        <v>123</v>
      </c>
      <c r="C282" s="3">
        <v>2023</v>
      </c>
      <c r="D282" s="3" t="s">
        <v>34</v>
      </c>
      <c r="E282" s="3" t="s">
        <v>74</v>
      </c>
      <c r="F282" s="4">
        <v>64</v>
      </c>
      <c r="G282" s="5">
        <v>253</v>
      </c>
      <c r="H282" s="5">
        <v>253</v>
      </c>
      <c r="I282" s="5">
        <f>IF(AND(G282&lt;&gt;"",H282&lt;&gt;""),(G282+H282)/2,"")</f>
        <v>253</v>
      </c>
      <c r="J282" s="4">
        <v>113</v>
      </c>
      <c r="K282" s="4">
        <v>113</v>
      </c>
      <c r="L282" s="4">
        <f>IF(AND(J282&lt;&gt;"",K282&lt;&gt;""),(J282+K282)/2,"")</f>
        <v>113</v>
      </c>
      <c r="M282" s="6">
        <f>IF(L282&lt;&gt;"",L282/33.7,"")</f>
        <v>3.353115727002967</v>
      </c>
      <c r="N282" s="6">
        <f>IF(AND(I282&lt;&gt;"",F282&lt;&gt;""),I282/F282,"")</f>
        <v>3.953125</v>
      </c>
      <c r="O282" s="2" t="s">
        <v>43</v>
      </c>
      <c r="P282" s="2" t="s">
        <v>44</v>
      </c>
      <c r="Q282" s="2"/>
      <c r="R282" s="3" t="s">
        <v>107</v>
      </c>
      <c r="S282" s="3" t="s">
        <v>124</v>
      </c>
      <c r="T282" s="2"/>
      <c r="U282" s="3"/>
      <c r="V282" s="3"/>
      <c r="W282" s="3"/>
      <c r="X282" s="3"/>
      <c r="Y282" s="3" t="str">
        <f>IF(AND(U282&lt;&gt;"",V282&lt;&gt;""),U282*V282,"")</f>
        <v/>
      </c>
      <c r="Z282" s="6"/>
      <c r="AA282" s="6"/>
      <c r="AB282" s="6"/>
      <c r="AC282" s="4"/>
      <c r="AD282" s="4"/>
      <c r="AE282" s="4"/>
      <c r="AF282" s="2"/>
    </row>
    <row r="283" spans="1:32" ht="16" x14ac:dyDescent="0.2">
      <c r="A283" s="3" t="s">
        <v>125</v>
      </c>
      <c r="B283" s="2" t="s">
        <v>126</v>
      </c>
      <c r="C283" s="3">
        <v>2023</v>
      </c>
      <c r="D283" s="3" t="s">
        <v>42</v>
      </c>
      <c r="E283" s="3" t="s">
        <v>35</v>
      </c>
      <c r="F283" s="4">
        <v>71</v>
      </c>
      <c r="G283" s="5">
        <v>196</v>
      </c>
      <c r="H283" s="5">
        <v>220</v>
      </c>
      <c r="I283" s="5">
        <f>IF(AND(G283&lt;&gt;"",H283&lt;&gt;""),(G283+H283)/2,"")</f>
        <v>208</v>
      </c>
      <c r="J283" s="4">
        <v>95</v>
      </c>
      <c r="K283" s="4">
        <v>107</v>
      </c>
      <c r="L283" s="4">
        <f>IF(AND(J283&lt;&gt;"",K283&lt;&gt;""),(J283+K283)/2,"")</f>
        <v>101</v>
      </c>
      <c r="M283" s="6">
        <f>IF(L283&lt;&gt;"",L283/33.7,"")</f>
        <v>2.9970326409495547</v>
      </c>
      <c r="N283" s="6">
        <f>IF(AND(I283&lt;&gt;"",F283&lt;&gt;""),I283/F283,"")</f>
        <v>2.9295774647887325</v>
      </c>
      <c r="O283" s="2" t="s">
        <v>43</v>
      </c>
      <c r="P283" s="2" t="s">
        <v>44</v>
      </c>
      <c r="Q283" s="2"/>
      <c r="R283" s="3" t="s">
        <v>127</v>
      </c>
      <c r="S283" s="3" t="s">
        <v>128</v>
      </c>
      <c r="T283" s="2"/>
      <c r="U283" s="3"/>
      <c r="V283" s="3"/>
      <c r="W283" s="3"/>
      <c r="X283" s="3"/>
      <c r="Y283" s="3" t="str">
        <f>IF(AND(U283&lt;&gt;"",V283&lt;&gt;""),U283*V283,"")</f>
        <v/>
      </c>
      <c r="Z283" s="6"/>
      <c r="AA283" s="6"/>
      <c r="AB283" s="6"/>
      <c r="AC283" s="4"/>
      <c r="AD283" s="4"/>
      <c r="AE283" s="4"/>
      <c r="AF283" s="2"/>
    </row>
    <row r="284" spans="1:32" ht="16" x14ac:dyDescent="0.2">
      <c r="A284" s="3" t="s">
        <v>129</v>
      </c>
      <c r="B284" s="2" t="s">
        <v>130</v>
      </c>
      <c r="C284" s="3">
        <v>2023</v>
      </c>
      <c r="D284" s="3" t="s">
        <v>86</v>
      </c>
      <c r="E284" s="3" t="s">
        <v>111</v>
      </c>
      <c r="F284" s="4">
        <v>109</v>
      </c>
      <c r="G284" s="5">
        <v>174</v>
      </c>
      <c r="H284" s="5">
        <v>174</v>
      </c>
      <c r="I284" s="5">
        <f>IF(AND(G284&lt;&gt;"",H284&lt;&gt;""),(G284+H284)/2,"")</f>
        <v>174</v>
      </c>
      <c r="J284" s="4">
        <v>48</v>
      </c>
      <c r="K284" s="4">
        <v>48</v>
      </c>
      <c r="L284" s="4">
        <f>IF(AND(J284&lt;&gt;"",K284&lt;&gt;""),(J284+K284)/2,"")</f>
        <v>48</v>
      </c>
      <c r="M284" s="6">
        <f>IF(L284&lt;&gt;"",L284/33.7,"")</f>
        <v>1.4243323442136497</v>
      </c>
      <c r="N284" s="6">
        <f>IF(AND(I284&lt;&gt;"",F284&lt;&gt;""),I284/F284,"")</f>
        <v>1.5963302752293578</v>
      </c>
      <c r="O284" s="2" t="s">
        <v>43</v>
      </c>
      <c r="P284" s="2" t="s">
        <v>44</v>
      </c>
      <c r="Q284" s="2"/>
      <c r="R284" s="3" t="s">
        <v>62</v>
      </c>
      <c r="S284" s="3" t="s">
        <v>63</v>
      </c>
      <c r="T284" s="2"/>
      <c r="U284" s="3"/>
      <c r="V284" s="3"/>
      <c r="W284" s="3"/>
      <c r="X284" s="3"/>
      <c r="Y284" s="3" t="str">
        <f>IF(AND(U284&lt;&gt;"",V284&lt;&gt;""),U284*V284,"")</f>
        <v/>
      </c>
      <c r="Z284" s="6"/>
      <c r="AA284" s="6"/>
      <c r="AB284" s="6"/>
      <c r="AC284" s="4"/>
      <c r="AD284" s="4"/>
      <c r="AE284" s="4"/>
      <c r="AF284" s="2"/>
    </row>
    <row r="285" spans="1:32" ht="48" x14ac:dyDescent="0.2">
      <c r="A285" s="3" t="s">
        <v>131</v>
      </c>
      <c r="B285" s="2" t="s">
        <v>132</v>
      </c>
      <c r="C285" s="3">
        <v>2023</v>
      </c>
      <c r="D285" s="3" t="s">
        <v>34</v>
      </c>
      <c r="E285" s="3" t="s">
        <v>35</v>
      </c>
      <c r="F285" s="4">
        <v>120</v>
      </c>
      <c r="G285" s="5">
        <v>469</v>
      </c>
      <c r="H285" s="5">
        <v>516</v>
      </c>
      <c r="I285" s="5">
        <f>IF(AND(G285&lt;&gt;"",H285&lt;&gt;""),(G285+H285)/2,"")</f>
        <v>492.5</v>
      </c>
      <c r="J285" s="4">
        <v>121</v>
      </c>
      <c r="K285" s="4">
        <v>131</v>
      </c>
      <c r="L285" s="4">
        <f>IF(AND(J285&lt;&gt;"",K285&lt;&gt;""),(J285+K285)/2,"")</f>
        <v>126</v>
      </c>
      <c r="M285" s="6">
        <f>IF(L285&lt;&gt;"",L285/33.7,"")</f>
        <v>3.7388724035608307</v>
      </c>
      <c r="N285" s="6">
        <f>IF(AND(I285&lt;&gt;"",F285&lt;&gt;""),I285/F285,"")</f>
        <v>4.104166666666667</v>
      </c>
      <c r="O285" s="2" t="s">
        <v>133</v>
      </c>
      <c r="P285" s="2" t="s">
        <v>37</v>
      </c>
      <c r="Q285" s="2" t="s">
        <v>134</v>
      </c>
      <c r="R285" s="3" t="s">
        <v>135</v>
      </c>
      <c r="S285" s="3" t="s">
        <v>136</v>
      </c>
      <c r="T285" s="2" t="s">
        <v>137</v>
      </c>
      <c r="U285" s="3">
        <v>220</v>
      </c>
      <c r="V285" s="3">
        <v>30</v>
      </c>
      <c r="W285" s="3">
        <v>22</v>
      </c>
      <c r="X285" s="3">
        <v>300</v>
      </c>
      <c r="Y285" s="3">
        <f>IF(AND(U285&lt;&gt;"",V285&lt;&gt;""),U285*V285,"")</f>
        <v>6600</v>
      </c>
      <c r="Z285" s="6">
        <v>3.63</v>
      </c>
      <c r="AA285" s="6">
        <v>4.2</v>
      </c>
      <c r="AB285" s="6">
        <v>2.5</v>
      </c>
      <c r="AC285" s="4">
        <f>U285*Z285</f>
        <v>798.6</v>
      </c>
      <c r="AD285" s="4">
        <f>U285*AA285</f>
        <v>924</v>
      </c>
      <c r="AE285" s="4">
        <f>U285*AB285</f>
        <v>550</v>
      </c>
      <c r="AF285" s="2" t="s">
        <v>138</v>
      </c>
    </row>
    <row r="286" spans="1:32" ht="48" x14ac:dyDescent="0.2">
      <c r="A286" s="3" t="s">
        <v>131</v>
      </c>
      <c r="B286" s="2" t="s">
        <v>139</v>
      </c>
      <c r="C286" s="3">
        <v>2023</v>
      </c>
      <c r="D286" s="3" t="s">
        <v>34</v>
      </c>
      <c r="E286" s="3" t="s">
        <v>35</v>
      </c>
      <c r="F286" s="4">
        <v>120</v>
      </c>
      <c r="G286" s="5">
        <v>446</v>
      </c>
      <c r="H286" s="5">
        <v>446</v>
      </c>
      <c r="I286" s="5">
        <f>IF(AND(G286&lt;&gt;"",H286&lt;&gt;""),(G286+H286)/2,"")</f>
        <v>446</v>
      </c>
      <c r="J286" s="4">
        <v>111</v>
      </c>
      <c r="K286" s="4">
        <v>111</v>
      </c>
      <c r="L286" s="4">
        <f>IF(AND(J286&lt;&gt;"",K286&lt;&gt;""),(J286+K286)/2,"")</f>
        <v>111</v>
      </c>
      <c r="M286" s="6">
        <f>IF(L286&lt;&gt;"",L286/33.7,"")</f>
        <v>3.2937685459940651</v>
      </c>
      <c r="N286" s="6">
        <f>IF(AND(I286&lt;&gt;"",F286&lt;&gt;""),I286/F286,"")</f>
        <v>3.7166666666666668</v>
      </c>
      <c r="O286" s="2" t="s">
        <v>133</v>
      </c>
      <c r="P286" s="2" t="s">
        <v>37</v>
      </c>
      <c r="Q286" s="2" t="s">
        <v>134</v>
      </c>
      <c r="R286" s="3" t="s">
        <v>135</v>
      </c>
      <c r="S286" s="3" t="s">
        <v>136</v>
      </c>
      <c r="T286" s="2" t="s">
        <v>137</v>
      </c>
      <c r="U286" s="3">
        <v>220</v>
      </c>
      <c r="V286" s="3">
        <v>30</v>
      </c>
      <c r="W286" s="3">
        <v>22</v>
      </c>
      <c r="X286" s="3">
        <v>300</v>
      </c>
      <c r="Y286" s="3">
        <f>IF(AND(U286&lt;&gt;"",V286&lt;&gt;""),U286*V286,"")</f>
        <v>6600</v>
      </c>
      <c r="Z286" s="6">
        <v>3.63</v>
      </c>
      <c r="AA286" s="6">
        <v>4.2</v>
      </c>
      <c r="AB286" s="6">
        <v>2.5</v>
      </c>
      <c r="AC286" s="4">
        <f>U286*Z286</f>
        <v>798.6</v>
      </c>
      <c r="AD286" s="4">
        <f>U286*AA286</f>
        <v>924</v>
      </c>
      <c r="AE286" s="4">
        <f>U286*AB286</f>
        <v>550</v>
      </c>
      <c r="AF286" s="2" t="s">
        <v>138</v>
      </c>
    </row>
    <row r="287" spans="1:32" ht="48" x14ac:dyDescent="0.2">
      <c r="A287" s="3" t="s">
        <v>131</v>
      </c>
      <c r="B287" s="2" t="s">
        <v>140</v>
      </c>
      <c r="C287" s="3">
        <v>2023</v>
      </c>
      <c r="D287" s="3" t="s">
        <v>34</v>
      </c>
      <c r="E287" s="3" t="s">
        <v>35</v>
      </c>
      <c r="F287" s="4">
        <v>120</v>
      </c>
      <c r="G287" s="5">
        <v>384</v>
      </c>
      <c r="H287" s="5">
        <v>410</v>
      </c>
      <c r="I287" s="5">
        <f>IF(AND(G287&lt;&gt;"",H287&lt;&gt;""),(G287+H287)/2,"")</f>
        <v>397</v>
      </c>
      <c r="J287" s="4">
        <v>121</v>
      </c>
      <c r="K287" s="4">
        <v>140</v>
      </c>
      <c r="L287" s="4">
        <f>IF(AND(J287&lt;&gt;"",K287&lt;&gt;""),(J287+K287)/2,"")</f>
        <v>130.5</v>
      </c>
      <c r="M287" s="6">
        <f>IF(L287&lt;&gt;"",L287/33.7,"")</f>
        <v>3.8724035608308602</v>
      </c>
      <c r="N287" s="6">
        <f>IF(AND(I287&lt;&gt;"",F287&lt;&gt;""),I287/F287,"")</f>
        <v>3.3083333333333331</v>
      </c>
      <c r="O287" s="2" t="s">
        <v>133</v>
      </c>
      <c r="P287" s="2" t="s">
        <v>37</v>
      </c>
      <c r="Q287" s="2" t="s">
        <v>134</v>
      </c>
      <c r="R287" s="3" t="s">
        <v>135</v>
      </c>
      <c r="S287" s="3" t="s">
        <v>136</v>
      </c>
      <c r="T287" s="2" t="s">
        <v>137</v>
      </c>
      <c r="U287" s="3">
        <v>220</v>
      </c>
      <c r="V287" s="3">
        <v>30</v>
      </c>
      <c r="W287" s="3">
        <v>22</v>
      </c>
      <c r="X287" s="3">
        <v>300</v>
      </c>
      <c r="Y287" s="3">
        <f>IF(AND(U287&lt;&gt;"",V287&lt;&gt;""),U287*V287,"")</f>
        <v>6600</v>
      </c>
      <c r="Z287" s="6">
        <v>3.63</v>
      </c>
      <c r="AA287" s="6">
        <v>4.2</v>
      </c>
      <c r="AB287" s="6">
        <v>2.5</v>
      </c>
      <c r="AC287" s="4">
        <f>U287*Z287</f>
        <v>798.6</v>
      </c>
      <c r="AD287" s="4">
        <f>U287*AA287</f>
        <v>924</v>
      </c>
      <c r="AE287" s="4">
        <f>U287*AB287</f>
        <v>550</v>
      </c>
      <c r="AF287" s="2" t="s">
        <v>138</v>
      </c>
    </row>
    <row r="288" spans="1:32" ht="48" x14ac:dyDescent="0.2">
      <c r="A288" s="3" t="s">
        <v>131</v>
      </c>
      <c r="B288" s="2" t="s">
        <v>141</v>
      </c>
      <c r="C288" s="3">
        <v>2023</v>
      </c>
      <c r="D288" s="3" t="s">
        <v>34</v>
      </c>
      <c r="E288" s="3" t="s">
        <v>35</v>
      </c>
      <c r="F288" s="4">
        <v>120</v>
      </c>
      <c r="G288" s="5">
        <v>384</v>
      </c>
      <c r="H288" s="5">
        <v>425</v>
      </c>
      <c r="I288" s="5">
        <f>IF(AND(G288&lt;&gt;"",H288&lt;&gt;""),(G288+H288)/2,"")</f>
        <v>404.5</v>
      </c>
      <c r="J288" s="4">
        <v>121</v>
      </c>
      <c r="K288" s="4">
        <v>140</v>
      </c>
      <c r="L288" s="4">
        <f>IF(AND(J288&lt;&gt;"",K288&lt;&gt;""),(J288+K288)/2,"")</f>
        <v>130.5</v>
      </c>
      <c r="M288" s="6">
        <f>IF(L288&lt;&gt;"",L288/33.7,"")</f>
        <v>3.8724035608308602</v>
      </c>
      <c r="N288" s="6">
        <f>IF(AND(I288&lt;&gt;"",F288&lt;&gt;""),I288/F288,"")</f>
        <v>3.3708333333333331</v>
      </c>
      <c r="O288" s="2" t="s">
        <v>133</v>
      </c>
      <c r="P288" s="2" t="s">
        <v>37</v>
      </c>
      <c r="Q288" s="2" t="s">
        <v>134</v>
      </c>
      <c r="R288" s="3" t="s">
        <v>135</v>
      </c>
      <c r="S288" s="3" t="s">
        <v>136</v>
      </c>
      <c r="T288" s="2" t="s">
        <v>137</v>
      </c>
      <c r="U288" s="3">
        <v>220</v>
      </c>
      <c r="V288" s="3">
        <v>30</v>
      </c>
      <c r="W288" s="3">
        <v>22</v>
      </c>
      <c r="X288" s="3">
        <v>300</v>
      </c>
      <c r="Y288" s="3">
        <f>IF(AND(U288&lt;&gt;"",V288&lt;&gt;""),U288*V288,"")</f>
        <v>6600</v>
      </c>
      <c r="Z288" s="6">
        <v>3.63</v>
      </c>
      <c r="AA288" s="6">
        <v>4.2</v>
      </c>
      <c r="AB288" s="6">
        <v>2.5</v>
      </c>
      <c r="AC288" s="4">
        <f>U288*Z288</f>
        <v>798.6</v>
      </c>
      <c r="AD288" s="4">
        <f>U288*AA288</f>
        <v>924</v>
      </c>
      <c r="AE288" s="4">
        <f>U288*AB288</f>
        <v>550</v>
      </c>
      <c r="AF288" s="2" t="s">
        <v>138</v>
      </c>
    </row>
    <row r="289" spans="1:32" ht="16" x14ac:dyDescent="0.2">
      <c r="A289" s="3" t="s">
        <v>142</v>
      </c>
      <c r="B289" s="2" t="s">
        <v>143</v>
      </c>
      <c r="C289" s="3">
        <v>2023</v>
      </c>
      <c r="D289" s="3" t="s">
        <v>34</v>
      </c>
      <c r="E289" s="3" t="s">
        <v>74</v>
      </c>
      <c r="F289" s="4">
        <v>35</v>
      </c>
      <c r="G289" s="5">
        <v>100</v>
      </c>
      <c r="H289" s="5">
        <v>100</v>
      </c>
      <c r="I289" s="5">
        <f>IF(AND(G289&lt;&gt;"",H289&lt;&gt;""),(G289+H289)/2,"")</f>
        <v>100</v>
      </c>
      <c r="J289" s="4">
        <v>92</v>
      </c>
      <c r="K289" s="4">
        <v>92</v>
      </c>
      <c r="L289" s="4">
        <f>IF(AND(J289&lt;&gt;"",K289&lt;&gt;""),(J289+K289)/2,"")</f>
        <v>92</v>
      </c>
      <c r="M289" s="6">
        <f>IF(L289&lt;&gt;"",L289/33.7,"")</f>
        <v>2.7299703264094952</v>
      </c>
      <c r="N289" s="6">
        <f>IF(AND(I289&lt;&gt;"",F289&lt;&gt;""),I289/F289,"")</f>
        <v>2.8571428571428572</v>
      </c>
      <c r="O289" s="2" t="s">
        <v>43</v>
      </c>
      <c r="P289" s="2" t="s">
        <v>44</v>
      </c>
      <c r="Q289" s="2"/>
      <c r="R289" s="3" t="s">
        <v>62</v>
      </c>
      <c r="S289" s="3" t="s">
        <v>63</v>
      </c>
      <c r="T289" s="2"/>
      <c r="U289" s="3"/>
      <c r="V289" s="3"/>
      <c r="W289" s="3"/>
      <c r="X289" s="3"/>
      <c r="Y289" s="3" t="str">
        <f>IF(AND(U289&lt;&gt;"",V289&lt;&gt;""),U289*V289,"")</f>
        <v/>
      </c>
      <c r="Z289" s="6"/>
      <c r="AA289" s="6"/>
      <c r="AB289" s="6"/>
      <c r="AC289" s="4"/>
      <c r="AD289" s="4"/>
      <c r="AE289" s="4"/>
      <c r="AF289" s="2"/>
    </row>
    <row r="290" spans="1:32" ht="16" x14ac:dyDescent="0.2">
      <c r="A290" s="3" t="s">
        <v>144</v>
      </c>
      <c r="B290" s="2" t="s">
        <v>145</v>
      </c>
      <c r="C290" s="3">
        <v>2023</v>
      </c>
      <c r="D290" s="3" t="s">
        <v>34</v>
      </c>
      <c r="E290" s="3" t="s">
        <v>35</v>
      </c>
      <c r="F290" s="4">
        <v>111</v>
      </c>
      <c r="G290" s="5">
        <v>340</v>
      </c>
      <c r="H290" s="5">
        <v>340</v>
      </c>
      <c r="I290" s="5">
        <f>IF(AND(G290&lt;&gt;"",H290&lt;&gt;""),(G290+H290)/2,"")</f>
        <v>340</v>
      </c>
      <c r="J290" s="4">
        <v>103</v>
      </c>
      <c r="K290" s="4">
        <v>103</v>
      </c>
      <c r="L290" s="4">
        <f>IF(AND(J290&lt;&gt;"",K290&lt;&gt;""),(J290+K290)/2,"")</f>
        <v>103</v>
      </c>
      <c r="M290" s="6">
        <f>IF(L290&lt;&gt;"",L290/33.7,"")</f>
        <v>3.0563798219584566</v>
      </c>
      <c r="N290" s="6">
        <f>IF(AND(I290&lt;&gt;"",F290&lt;&gt;""),I290/F290,"")</f>
        <v>3.0630630630630629</v>
      </c>
      <c r="O290" s="2" t="s">
        <v>43</v>
      </c>
      <c r="P290" s="2" t="s">
        <v>44</v>
      </c>
      <c r="Q290" s="2"/>
      <c r="R290" s="3" t="s">
        <v>146</v>
      </c>
      <c r="S290" s="3" t="s">
        <v>147</v>
      </c>
      <c r="T290" s="2"/>
      <c r="U290" s="3"/>
      <c r="V290" s="3"/>
      <c r="W290" s="3"/>
      <c r="X290" s="3"/>
      <c r="Y290" s="3" t="str">
        <f>IF(AND(U290&lt;&gt;"",V290&lt;&gt;""),U290*V290,"")</f>
        <v/>
      </c>
      <c r="Z290" s="6"/>
      <c r="AA290" s="6"/>
      <c r="AB290" s="6"/>
      <c r="AC290" s="4"/>
      <c r="AD290" s="4"/>
      <c r="AE290" s="4"/>
      <c r="AF290" s="2"/>
    </row>
    <row r="291" spans="1:32" ht="16" x14ac:dyDescent="0.2">
      <c r="A291" s="3" t="s">
        <v>144</v>
      </c>
      <c r="B291" s="2" t="s">
        <v>148</v>
      </c>
      <c r="C291" s="3">
        <v>2023</v>
      </c>
      <c r="D291" s="3" t="s">
        <v>42</v>
      </c>
      <c r="E291" s="3" t="s">
        <v>35</v>
      </c>
      <c r="F291" s="4">
        <v>111</v>
      </c>
      <c r="G291" s="5">
        <v>285</v>
      </c>
      <c r="H291" s="5">
        <v>285</v>
      </c>
      <c r="I291" s="5">
        <f>IF(AND(G291&lt;&gt;"",H291&lt;&gt;""),(G291+H291)/2,"")</f>
        <v>285</v>
      </c>
      <c r="J291" s="4">
        <v>78</v>
      </c>
      <c r="K291" s="4">
        <v>78</v>
      </c>
      <c r="L291" s="4">
        <f>IF(AND(J291&lt;&gt;"",K291&lt;&gt;""),(J291+K291)/2,"")</f>
        <v>78</v>
      </c>
      <c r="M291" s="6">
        <f>IF(L291&lt;&gt;"",L291/33.7,"")</f>
        <v>2.314540059347181</v>
      </c>
      <c r="N291" s="6">
        <f>IF(AND(I291&lt;&gt;"",F291&lt;&gt;""),I291/F291,"")</f>
        <v>2.5675675675675675</v>
      </c>
      <c r="O291" s="2" t="s">
        <v>43</v>
      </c>
      <c r="P291" s="2" t="s">
        <v>44</v>
      </c>
      <c r="Q291" s="2"/>
      <c r="R291" s="3" t="s">
        <v>146</v>
      </c>
      <c r="S291" s="3" t="s">
        <v>147</v>
      </c>
      <c r="T291" s="2"/>
      <c r="U291" s="3"/>
      <c r="V291" s="3"/>
      <c r="W291" s="3"/>
      <c r="X291" s="3"/>
      <c r="Y291" s="3" t="str">
        <f>IF(AND(U291&lt;&gt;"",V291&lt;&gt;""),U291*V291,"")</f>
        <v/>
      </c>
      <c r="Z291" s="6"/>
      <c r="AA291" s="6"/>
      <c r="AB291" s="6"/>
      <c r="AC291" s="4"/>
      <c r="AD291" s="4"/>
      <c r="AE291" s="4"/>
      <c r="AF291" s="2"/>
    </row>
    <row r="292" spans="1:32" ht="16" x14ac:dyDescent="0.2">
      <c r="A292" s="3" t="s">
        <v>144</v>
      </c>
      <c r="B292" s="2" t="s">
        <v>149</v>
      </c>
      <c r="C292" s="3">
        <v>2023</v>
      </c>
      <c r="D292" s="3" t="s">
        <v>42</v>
      </c>
      <c r="E292" s="3" t="s">
        <v>50</v>
      </c>
      <c r="F292" s="4">
        <v>111</v>
      </c>
      <c r="G292" s="5">
        <v>305</v>
      </c>
      <c r="H292" s="5">
        <v>305</v>
      </c>
      <c r="I292" s="5">
        <f>IF(AND(G292&lt;&gt;"",H292&lt;&gt;""),(G292+H292)/2,"")</f>
        <v>305</v>
      </c>
      <c r="J292" s="4">
        <v>85</v>
      </c>
      <c r="K292" s="4">
        <v>85</v>
      </c>
      <c r="L292" s="4">
        <f>IF(AND(J292&lt;&gt;"",K292&lt;&gt;""),(J292+K292)/2,"")</f>
        <v>85</v>
      </c>
      <c r="M292" s="6">
        <f>IF(L292&lt;&gt;"",L292/33.7,"")</f>
        <v>2.5222551928783381</v>
      </c>
      <c r="N292" s="6">
        <f>IF(AND(I292&lt;&gt;"",F292&lt;&gt;""),I292/F292,"")</f>
        <v>2.7477477477477477</v>
      </c>
      <c r="O292" s="2" t="s">
        <v>43</v>
      </c>
      <c r="P292" s="2" t="s">
        <v>44</v>
      </c>
      <c r="Q292" s="2"/>
      <c r="R292" s="3" t="s">
        <v>146</v>
      </c>
      <c r="S292" s="3" t="s">
        <v>147</v>
      </c>
      <c r="T292" s="2"/>
      <c r="U292" s="3"/>
      <c r="V292" s="3"/>
      <c r="W292" s="3"/>
      <c r="X292" s="3"/>
      <c r="Y292" s="3" t="str">
        <f>IF(AND(U292&lt;&gt;"",V292&lt;&gt;""),U292*V292,"")</f>
        <v/>
      </c>
      <c r="Z292" s="6"/>
      <c r="AA292" s="6"/>
      <c r="AB292" s="6"/>
      <c r="AC292" s="4"/>
      <c r="AD292" s="4"/>
      <c r="AE292" s="4"/>
      <c r="AF292" s="2"/>
    </row>
    <row r="293" spans="1:32" ht="16" x14ac:dyDescent="0.2">
      <c r="A293" s="3" t="s">
        <v>144</v>
      </c>
      <c r="B293" s="2" t="s">
        <v>150</v>
      </c>
      <c r="C293" s="3">
        <v>2023</v>
      </c>
      <c r="D293" s="3" t="s">
        <v>42</v>
      </c>
      <c r="E293" s="3" t="s">
        <v>35</v>
      </c>
      <c r="F293" s="4">
        <v>111</v>
      </c>
      <c r="G293" s="5">
        <v>285</v>
      </c>
      <c r="H293" s="5">
        <v>285</v>
      </c>
      <c r="I293" s="5">
        <f>IF(AND(G293&lt;&gt;"",H293&lt;&gt;""),(G293+H293)/2,"")</f>
        <v>285</v>
      </c>
      <c r="J293" s="4">
        <v>77</v>
      </c>
      <c r="K293" s="4">
        <v>77</v>
      </c>
      <c r="L293" s="4">
        <f>IF(AND(J293&lt;&gt;"",K293&lt;&gt;""),(J293+K293)/2,"")</f>
        <v>77</v>
      </c>
      <c r="M293" s="6">
        <f>IF(L293&lt;&gt;"",L293/33.7,"")</f>
        <v>2.2848664688427296</v>
      </c>
      <c r="N293" s="6">
        <f>IF(AND(I293&lt;&gt;"",F293&lt;&gt;""),I293/F293,"")</f>
        <v>2.5675675675675675</v>
      </c>
      <c r="O293" s="2" t="s">
        <v>43</v>
      </c>
      <c r="P293" s="2" t="s">
        <v>44</v>
      </c>
      <c r="Q293" s="2"/>
      <c r="R293" s="3" t="s">
        <v>146</v>
      </c>
      <c r="S293" s="3" t="s">
        <v>147</v>
      </c>
      <c r="T293" s="2"/>
      <c r="U293" s="3"/>
      <c r="V293" s="3"/>
      <c r="W293" s="3"/>
      <c r="X293" s="3"/>
      <c r="Y293" s="3" t="str">
        <f>IF(AND(U293&lt;&gt;"",V293&lt;&gt;""),U293*V293,"")</f>
        <v/>
      </c>
      <c r="Z293" s="6"/>
      <c r="AA293" s="6"/>
      <c r="AB293" s="6"/>
      <c r="AC293" s="4"/>
      <c r="AD293" s="4"/>
      <c r="AE293" s="4"/>
      <c r="AF293" s="2"/>
    </row>
    <row r="294" spans="1:32" ht="16" x14ac:dyDescent="0.2">
      <c r="A294" s="3" t="s">
        <v>151</v>
      </c>
      <c r="B294" s="2" t="s">
        <v>152</v>
      </c>
      <c r="C294" s="3">
        <v>2023</v>
      </c>
      <c r="D294" s="3" t="s">
        <v>34</v>
      </c>
      <c r="E294" s="3" t="s">
        <v>74</v>
      </c>
      <c r="F294" s="4">
        <v>32</v>
      </c>
      <c r="G294" s="5">
        <v>114</v>
      </c>
      <c r="H294" s="5">
        <v>114</v>
      </c>
      <c r="I294" s="5">
        <f>IF(AND(G294&lt;&gt;"",H294&lt;&gt;""),(G294+H294)/2,"")</f>
        <v>114</v>
      </c>
      <c r="J294" s="4">
        <v>110</v>
      </c>
      <c r="K294" s="4">
        <v>110</v>
      </c>
      <c r="L294" s="4">
        <f>IF(AND(J294&lt;&gt;"",K294&lt;&gt;""),(J294+K294)/2,"")</f>
        <v>110</v>
      </c>
      <c r="M294" s="6">
        <f>IF(L294&lt;&gt;"",L294/33.7,"")</f>
        <v>3.2640949554896141</v>
      </c>
      <c r="N294" s="6">
        <f>IF(AND(I294&lt;&gt;"",F294&lt;&gt;""),I294/F294,"")</f>
        <v>3.5625</v>
      </c>
      <c r="O294" s="2" t="s">
        <v>43</v>
      </c>
      <c r="P294" s="2" t="s">
        <v>44</v>
      </c>
      <c r="Q294" s="2"/>
      <c r="R294" s="3" t="s">
        <v>153</v>
      </c>
      <c r="S294" s="3" t="s">
        <v>154</v>
      </c>
      <c r="T294" s="2"/>
      <c r="U294" s="3"/>
      <c r="V294" s="3"/>
      <c r="W294" s="3"/>
      <c r="X294" s="3"/>
      <c r="Y294" s="3" t="str">
        <f>IF(AND(U294&lt;&gt;"",V294&lt;&gt;""),U294*V294,"")</f>
        <v/>
      </c>
      <c r="Z294" s="6"/>
      <c r="AA294" s="6"/>
      <c r="AB294" s="6"/>
      <c r="AC294" s="4"/>
      <c r="AD294" s="4"/>
      <c r="AE294" s="4"/>
      <c r="AF294" s="2"/>
    </row>
    <row r="295" spans="1:32" ht="16" x14ac:dyDescent="0.2">
      <c r="A295" s="3" t="s">
        <v>155</v>
      </c>
      <c r="B295" s="2" t="s">
        <v>156</v>
      </c>
      <c r="C295" s="3">
        <v>2023</v>
      </c>
      <c r="D295" s="3" t="s">
        <v>34</v>
      </c>
      <c r="E295" s="3" t="s">
        <v>35</v>
      </c>
      <c r="F295" s="4">
        <v>65</v>
      </c>
      <c r="G295" s="5">
        <v>205</v>
      </c>
      <c r="H295" s="5">
        <v>205</v>
      </c>
      <c r="I295" s="5">
        <f>IF(AND(G295&lt;&gt;"",H295&lt;&gt;""),(G295+H295)/2,"")</f>
        <v>205</v>
      </c>
      <c r="J295" s="4">
        <v>95</v>
      </c>
      <c r="K295" s="4">
        <v>95</v>
      </c>
      <c r="L295" s="4">
        <f>IF(AND(J295&lt;&gt;"",K295&lt;&gt;""),(J295+K295)/2,"")</f>
        <v>95</v>
      </c>
      <c r="M295" s="6">
        <f>IF(L295&lt;&gt;"",L295/33.7,"")</f>
        <v>2.8189910979228485</v>
      </c>
      <c r="N295" s="6">
        <f>IF(AND(I295&lt;&gt;"",F295&lt;&gt;""),I295/F295,"")</f>
        <v>3.1538461538461537</v>
      </c>
      <c r="O295" s="2" t="s">
        <v>43</v>
      </c>
      <c r="P295" s="2" t="s">
        <v>44</v>
      </c>
      <c r="Q295" s="2"/>
      <c r="R295" s="3" t="s">
        <v>157</v>
      </c>
      <c r="S295" s="3" t="s">
        <v>158</v>
      </c>
      <c r="T295" s="2"/>
      <c r="U295" s="3"/>
      <c r="V295" s="3"/>
      <c r="W295" s="3"/>
      <c r="X295" s="3"/>
      <c r="Y295" s="3" t="str">
        <f>IF(AND(U295&lt;&gt;"",V295&lt;&gt;""),U295*V295,"")</f>
        <v/>
      </c>
      <c r="Z295" s="6"/>
      <c r="AA295" s="6"/>
      <c r="AB295" s="6"/>
      <c r="AC295" s="4"/>
      <c r="AD295" s="4"/>
      <c r="AE295" s="4"/>
      <c r="AF295" s="2"/>
    </row>
    <row r="296" spans="1:32" ht="16" x14ac:dyDescent="0.2">
      <c r="A296" s="3" t="s">
        <v>155</v>
      </c>
      <c r="B296" s="2" t="s">
        <v>159</v>
      </c>
      <c r="C296" s="3">
        <v>2023</v>
      </c>
      <c r="D296" s="3" t="s">
        <v>34</v>
      </c>
      <c r="E296" s="3" t="s">
        <v>74</v>
      </c>
      <c r="F296" s="4">
        <v>65</v>
      </c>
      <c r="G296" s="5">
        <v>216</v>
      </c>
      <c r="H296" s="5">
        <v>216</v>
      </c>
      <c r="I296" s="5">
        <f>IF(AND(G296&lt;&gt;"",H296&lt;&gt;""),(G296+H296)/2,"")</f>
        <v>216</v>
      </c>
      <c r="J296" s="4">
        <v>101</v>
      </c>
      <c r="K296" s="4">
        <v>101</v>
      </c>
      <c r="L296" s="4">
        <f>IF(AND(J296&lt;&gt;"",K296&lt;&gt;""),(J296+K296)/2,"")</f>
        <v>101</v>
      </c>
      <c r="M296" s="6">
        <f>IF(L296&lt;&gt;"",L296/33.7,"")</f>
        <v>2.9970326409495547</v>
      </c>
      <c r="N296" s="6">
        <f>IF(AND(I296&lt;&gt;"",F296&lt;&gt;""),I296/F296,"")</f>
        <v>3.3230769230769233</v>
      </c>
      <c r="O296" s="2" t="s">
        <v>43</v>
      </c>
      <c r="P296" s="2" t="s">
        <v>44</v>
      </c>
      <c r="Q296" s="2"/>
      <c r="R296" s="3" t="s">
        <v>62</v>
      </c>
      <c r="S296" s="3" t="s">
        <v>63</v>
      </c>
      <c r="T296" s="2"/>
      <c r="U296" s="3"/>
      <c r="V296" s="3"/>
      <c r="W296" s="3"/>
      <c r="X296" s="3"/>
      <c r="Y296" s="3" t="str">
        <f>IF(AND(U296&lt;&gt;"",V296&lt;&gt;""),U296*V296,"")</f>
        <v/>
      </c>
      <c r="Z296" s="6"/>
      <c r="AA296" s="6"/>
      <c r="AB296" s="6"/>
      <c r="AC296" s="4"/>
      <c r="AD296" s="4"/>
      <c r="AE296" s="4"/>
      <c r="AF296" s="2"/>
    </row>
    <row r="297" spans="1:32" ht="16" x14ac:dyDescent="0.2">
      <c r="A297" s="3" t="s">
        <v>155</v>
      </c>
      <c r="B297" s="2" t="s">
        <v>160</v>
      </c>
      <c r="C297" s="3">
        <v>2023</v>
      </c>
      <c r="D297" s="3" t="s">
        <v>34</v>
      </c>
      <c r="E297" s="3" t="s">
        <v>35</v>
      </c>
      <c r="F297" s="4">
        <v>90</v>
      </c>
      <c r="G297" s="5">
        <v>257</v>
      </c>
      <c r="H297" s="5">
        <v>257</v>
      </c>
      <c r="I297" s="5">
        <f>IF(AND(G297&lt;&gt;"",H297&lt;&gt;""),(G297+H297)/2,"")</f>
        <v>257</v>
      </c>
      <c r="J297" s="4">
        <v>87</v>
      </c>
      <c r="K297" s="4">
        <v>92</v>
      </c>
      <c r="L297" s="4">
        <f>IF(AND(J297&lt;&gt;"",K297&lt;&gt;""),(J297+K297)/2,"")</f>
        <v>89.5</v>
      </c>
      <c r="M297" s="6">
        <f>IF(L297&lt;&gt;"",L297/33.7,"")</f>
        <v>2.6557863501483676</v>
      </c>
      <c r="N297" s="6">
        <f>IF(AND(I297&lt;&gt;"",F297&lt;&gt;""),I297/F297,"")</f>
        <v>2.8555555555555556</v>
      </c>
      <c r="O297" s="2" t="s">
        <v>43</v>
      </c>
      <c r="P297" s="2" t="s">
        <v>44</v>
      </c>
      <c r="Q297" s="2"/>
      <c r="R297" s="3" t="s">
        <v>157</v>
      </c>
      <c r="S297" s="3" t="s">
        <v>158</v>
      </c>
      <c r="T297" s="2"/>
      <c r="U297" s="3"/>
      <c r="V297" s="3"/>
      <c r="W297" s="3"/>
      <c r="X297" s="3"/>
      <c r="Y297" s="3" t="str">
        <f>IF(AND(U297&lt;&gt;"",V297&lt;&gt;""),U297*V297,"")</f>
        <v/>
      </c>
      <c r="Z297" s="6"/>
      <c r="AA297" s="6"/>
      <c r="AB297" s="6"/>
      <c r="AC297" s="4"/>
      <c r="AD297" s="4"/>
      <c r="AE297" s="4"/>
      <c r="AF297" s="2"/>
    </row>
    <row r="298" spans="1:32" ht="16" x14ac:dyDescent="0.2">
      <c r="A298" s="3" t="s">
        <v>155</v>
      </c>
      <c r="B298" s="2" t="s">
        <v>161</v>
      </c>
      <c r="C298" s="3">
        <v>2023</v>
      </c>
      <c r="D298" s="3" t="s">
        <v>34</v>
      </c>
      <c r="E298" s="3" t="s">
        <v>74</v>
      </c>
      <c r="F298" s="4">
        <v>90</v>
      </c>
      <c r="G298" s="5">
        <v>289</v>
      </c>
      <c r="H298" s="5">
        <v>304</v>
      </c>
      <c r="I298" s="5">
        <f>IF(AND(G298&lt;&gt;"",H298&lt;&gt;""),(G298+H298)/2,"")</f>
        <v>296.5</v>
      </c>
      <c r="J298" s="4">
        <v>98</v>
      </c>
      <c r="K298" s="4">
        <v>103</v>
      </c>
      <c r="L298" s="4">
        <f>IF(AND(J298&lt;&gt;"",K298&lt;&gt;""),(J298+K298)/2,"")</f>
        <v>100.5</v>
      </c>
      <c r="M298" s="6">
        <f>IF(L298&lt;&gt;"",L298/33.7,"")</f>
        <v>2.982195845697329</v>
      </c>
      <c r="N298" s="6">
        <f>IF(AND(I298&lt;&gt;"",F298&lt;&gt;""),I298/F298,"")</f>
        <v>3.2944444444444443</v>
      </c>
      <c r="O298" s="2" t="s">
        <v>43</v>
      </c>
      <c r="P298" s="2" t="s">
        <v>44</v>
      </c>
      <c r="Q298" s="2"/>
      <c r="R298" s="3" t="s">
        <v>62</v>
      </c>
      <c r="S298" s="3" t="s">
        <v>63</v>
      </c>
      <c r="T298" s="2"/>
      <c r="U298" s="3"/>
      <c r="V298" s="3"/>
      <c r="W298" s="3"/>
      <c r="X298" s="3"/>
      <c r="Y298" s="3" t="str">
        <f>IF(AND(U298&lt;&gt;"",V298&lt;&gt;""),U298*V298,"")</f>
        <v/>
      </c>
      <c r="Z298" s="6"/>
      <c r="AA298" s="6"/>
      <c r="AB298" s="6"/>
      <c r="AC298" s="4"/>
      <c r="AD298" s="4"/>
      <c r="AE298" s="4"/>
      <c r="AF298" s="2"/>
    </row>
    <row r="299" spans="1:32" ht="16" x14ac:dyDescent="0.2">
      <c r="A299" s="3" t="s">
        <v>155</v>
      </c>
      <c r="B299" s="2" t="s">
        <v>162</v>
      </c>
      <c r="C299" s="3">
        <v>2023</v>
      </c>
      <c r="D299" s="3" t="s">
        <v>34</v>
      </c>
      <c r="E299" s="3" t="s">
        <v>74</v>
      </c>
      <c r="F299" s="4">
        <v>40</v>
      </c>
      <c r="G299" s="5">
        <v>149</v>
      </c>
      <c r="H299" s="5">
        <v>149</v>
      </c>
      <c r="I299" s="5">
        <f>IF(AND(G299&lt;&gt;"",H299&lt;&gt;""),(G299+H299)/2,"")</f>
        <v>149</v>
      </c>
      <c r="J299" s="4">
        <v>111</v>
      </c>
      <c r="K299" s="4">
        <v>111</v>
      </c>
      <c r="L299" s="4">
        <f>IF(AND(J299&lt;&gt;"",K299&lt;&gt;""),(J299+K299)/2,"")</f>
        <v>111</v>
      </c>
      <c r="M299" s="6">
        <f>IF(L299&lt;&gt;"",L299/33.7,"")</f>
        <v>3.2937685459940651</v>
      </c>
      <c r="N299" s="6">
        <f>IF(AND(I299&lt;&gt;"",F299&lt;&gt;""),I299/F299,"")</f>
        <v>3.7250000000000001</v>
      </c>
      <c r="O299" s="2" t="s">
        <v>43</v>
      </c>
      <c r="P299" s="2" t="s">
        <v>44</v>
      </c>
      <c r="Q299" s="2"/>
      <c r="R299" s="3" t="s">
        <v>163</v>
      </c>
      <c r="S299" s="3" t="s">
        <v>164</v>
      </c>
      <c r="T299" s="2"/>
      <c r="U299" s="3"/>
      <c r="V299" s="3"/>
      <c r="W299" s="3"/>
      <c r="X299" s="3"/>
      <c r="Y299" s="3" t="str">
        <f>IF(AND(U299&lt;&gt;"",V299&lt;&gt;""),U299*V299,"")</f>
        <v/>
      </c>
      <c r="Z299" s="6"/>
      <c r="AA299" s="6"/>
      <c r="AB299" s="6"/>
      <c r="AC299" s="4"/>
      <c r="AD299" s="4"/>
      <c r="AE299" s="4"/>
      <c r="AF299" s="2"/>
    </row>
    <row r="300" spans="1:32" ht="16" x14ac:dyDescent="0.2">
      <c r="A300" s="3" t="s">
        <v>155</v>
      </c>
      <c r="B300" s="2" t="s">
        <v>165</v>
      </c>
      <c r="C300" s="3">
        <v>2023</v>
      </c>
      <c r="D300" s="3" t="s">
        <v>34</v>
      </c>
      <c r="E300" s="3" t="s">
        <v>74</v>
      </c>
      <c r="F300" s="4">
        <v>60</v>
      </c>
      <c r="G300" s="5">
        <v>212</v>
      </c>
      <c r="H300" s="5">
        <v>212</v>
      </c>
      <c r="I300" s="5">
        <f>IF(AND(G300&lt;&gt;"",H300&lt;&gt;""),(G300+H300)/2,"")</f>
        <v>212</v>
      </c>
      <c r="J300" s="4">
        <v>109</v>
      </c>
      <c r="K300" s="4">
        <v>109</v>
      </c>
      <c r="L300" s="4">
        <f>IF(AND(J300&lt;&gt;"",K300&lt;&gt;""),(J300+K300)/2,"")</f>
        <v>109</v>
      </c>
      <c r="M300" s="6">
        <f>IF(L300&lt;&gt;"",L300/33.7,"")</f>
        <v>3.2344213649851628</v>
      </c>
      <c r="N300" s="6">
        <f>IF(AND(I300&lt;&gt;"",F300&lt;&gt;""),I300/F300,"")</f>
        <v>3.5333333333333332</v>
      </c>
      <c r="O300" s="2" t="s">
        <v>43</v>
      </c>
      <c r="P300" s="2" t="s">
        <v>44</v>
      </c>
      <c r="Q300" s="2"/>
      <c r="R300" s="3" t="s">
        <v>163</v>
      </c>
      <c r="S300" s="3" t="s">
        <v>164</v>
      </c>
      <c r="T300" s="2"/>
      <c r="U300" s="3"/>
      <c r="V300" s="3"/>
      <c r="W300" s="3"/>
      <c r="X300" s="3"/>
      <c r="Y300" s="3" t="str">
        <f>IF(AND(U300&lt;&gt;"",V300&lt;&gt;""),U300*V300,"")</f>
        <v/>
      </c>
      <c r="Z300" s="6"/>
      <c r="AA300" s="6"/>
      <c r="AB300" s="6"/>
      <c r="AC300" s="4"/>
      <c r="AD300" s="4"/>
      <c r="AE300" s="4"/>
      <c r="AF300" s="2"/>
    </row>
    <row r="301" spans="1:32" ht="16" x14ac:dyDescent="0.2">
      <c r="A301" s="3" t="s">
        <v>166</v>
      </c>
      <c r="B301" s="2" t="s">
        <v>166</v>
      </c>
      <c r="C301" s="3">
        <v>2023</v>
      </c>
      <c r="D301" s="3" t="s">
        <v>34</v>
      </c>
      <c r="E301" s="3" t="s">
        <v>74</v>
      </c>
      <c r="F301" s="4">
        <v>77</v>
      </c>
      <c r="G301" s="5">
        <v>270</v>
      </c>
      <c r="H301" s="5">
        <v>270</v>
      </c>
      <c r="I301" s="5">
        <f>IF(AND(G301&lt;&gt;"",H301&lt;&gt;""),(G301+H301)/2,"")</f>
        <v>270</v>
      </c>
      <c r="J301" s="4">
        <v>107</v>
      </c>
      <c r="K301" s="4">
        <v>107</v>
      </c>
      <c r="L301" s="4">
        <f>IF(AND(J301&lt;&gt;"",K301&lt;&gt;""),(J301+K301)/2,"")</f>
        <v>107</v>
      </c>
      <c r="M301" s="6">
        <f>IF(L301&lt;&gt;"",L301/33.7,"")</f>
        <v>3.1750741839762608</v>
      </c>
      <c r="N301" s="6">
        <f>IF(AND(I301&lt;&gt;"",F301&lt;&gt;""),I301/F301,"")</f>
        <v>3.5064935064935066</v>
      </c>
      <c r="O301" s="2" t="s">
        <v>43</v>
      </c>
      <c r="P301" s="2" t="s">
        <v>44</v>
      </c>
      <c r="Q301" s="2"/>
      <c r="R301" s="3" t="s">
        <v>167</v>
      </c>
      <c r="S301" s="3" t="s">
        <v>168</v>
      </c>
      <c r="T301" s="2"/>
      <c r="U301" s="3"/>
      <c r="V301" s="3"/>
      <c r="W301" s="3"/>
      <c r="X301" s="3"/>
      <c r="Y301" s="3" t="str">
        <f>IF(AND(U301&lt;&gt;"",V301&lt;&gt;""),U301*V301,"")</f>
        <v/>
      </c>
      <c r="Z301" s="6"/>
      <c r="AA301" s="6"/>
      <c r="AB301" s="6"/>
      <c r="AC301" s="4"/>
      <c r="AD301" s="4"/>
      <c r="AE301" s="4"/>
      <c r="AF301" s="2"/>
    </row>
    <row r="302" spans="1:32" ht="16" x14ac:dyDescent="0.2">
      <c r="A302" s="3" t="s">
        <v>166</v>
      </c>
      <c r="B302" s="2" t="s">
        <v>169</v>
      </c>
      <c r="C302" s="3">
        <v>2023</v>
      </c>
      <c r="D302" s="3" t="s">
        <v>34</v>
      </c>
      <c r="E302" s="3" t="s">
        <v>35</v>
      </c>
      <c r="F302" s="4">
        <v>77</v>
      </c>
      <c r="G302" s="5">
        <v>247</v>
      </c>
      <c r="H302" s="5">
        <v>260</v>
      </c>
      <c r="I302" s="5">
        <f>IF(AND(G302&lt;&gt;"",H302&lt;&gt;""),(G302+H302)/2,"")</f>
        <v>253.5</v>
      </c>
      <c r="J302" s="4">
        <v>96</v>
      </c>
      <c r="K302" s="4">
        <v>100</v>
      </c>
      <c r="L302" s="4">
        <f>IF(AND(J302&lt;&gt;"",K302&lt;&gt;""),(J302+K302)/2,"")</f>
        <v>98</v>
      </c>
      <c r="M302" s="6">
        <f>IF(L302&lt;&gt;"",L302/33.7,"")</f>
        <v>2.9080118694362014</v>
      </c>
      <c r="N302" s="6">
        <f>IF(AND(I302&lt;&gt;"",F302&lt;&gt;""),I302/F302,"")</f>
        <v>3.2922077922077921</v>
      </c>
      <c r="O302" s="2" t="s">
        <v>43</v>
      </c>
      <c r="P302" s="2" t="s">
        <v>44</v>
      </c>
      <c r="Q302" s="2"/>
      <c r="R302" s="3" t="s">
        <v>167</v>
      </c>
      <c r="S302" s="3" t="s">
        <v>168</v>
      </c>
      <c r="T302" s="2"/>
      <c r="U302" s="3"/>
      <c r="V302" s="3"/>
      <c r="W302" s="3"/>
      <c r="X302" s="3"/>
      <c r="Y302" s="3" t="str">
        <f>IF(AND(U302&lt;&gt;"",V302&lt;&gt;""),U302*V302,"")</f>
        <v/>
      </c>
      <c r="Z302" s="6"/>
      <c r="AA302" s="6"/>
      <c r="AB302" s="6"/>
      <c r="AC302" s="4"/>
      <c r="AD302" s="4"/>
      <c r="AE302" s="4"/>
      <c r="AF302" s="2"/>
    </row>
    <row r="303" spans="1:32" ht="80" x14ac:dyDescent="0.2">
      <c r="A303" s="3" t="s">
        <v>170</v>
      </c>
      <c r="B303" s="2" t="s">
        <v>171</v>
      </c>
      <c r="C303" s="3">
        <v>2023</v>
      </c>
      <c r="D303" s="3" t="s">
        <v>34</v>
      </c>
      <c r="E303" s="3" t="s">
        <v>35</v>
      </c>
      <c r="F303" s="4">
        <v>109</v>
      </c>
      <c r="G303" s="5">
        <v>206</v>
      </c>
      <c r="H303" s="5">
        <v>246</v>
      </c>
      <c r="I303" s="5">
        <f>IF(AND(G303&lt;&gt;"",H303&lt;&gt;""),(G303+H303)/2,"")</f>
        <v>226</v>
      </c>
      <c r="J303" s="4">
        <v>75</v>
      </c>
      <c r="K303" s="4">
        <v>83</v>
      </c>
      <c r="L303" s="4">
        <f>IF(AND(J303&lt;&gt;"",K303&lt;&gt;""),(J303+K303)/2,"")</f>
        <v>79</v>
      </c>
      <c r="M303" s="6">
        <f>IF(L303&lt;&gt;"",L303/33.7,"")</f>
        <v>2.3442136498516319</v>
      </c>
      <c r="N303" s="6">
        <f>IF(AND(I303&lt;&gt;"",F303&lt;&gt;""),I303/F303,"")</f>
        <v>2.073394495412844</v>
      </c>
      <c r="O303" s="2" t="s">
        <v>36</v>
      </c>
      <c r="P303" s="2" t="s">
        <v>37</v>
      </c>
      <c r="Q303" s="2" t="s">
        <v>172</v>
      </c>
      <c r="R303" s="3" t="s">
        <v>173</v>
      </c>
      <c r="S303" s="3" t="s">
        <v>174</v>
      </c>
      <c r="T303" s="2" t="s">
        <v>175</v>
      </c>
      <c r="U303" s="3">
        <v>198</v>
      </c>
      <c r="V303" s="3">
        <v>2</v>
      </c>
      <c r="W303" s="3">
        <v>33</v>
      </c>
      <c r="X303" s="3">
        <v>12</v>
      </c>
      <c r="Y303" s="3">
        <f>IF(AND(U303&lt;&gt;"",V303&lt;&gt;""),U303*V303,"")</f>
        <v>396</v>
      </c>
      <c r="Z303" s="6">
        <v>3.6515151515151509</v>
      </c>
      <c r="AA303" s="6">
        <v>4.2</v>
      </c>
      <c r="AB303" s="6"/>
      <c r="AC303" s="4">
        <f>U303*Z303</f>
        <v>722.99999999999989</v>
      </c>
      <c r="AD303" s="4">
        <f>U303*AA303</f>
        <v>831.6</v>
      </c>
      <c r="AE303" s="4"/>
      <c r="AF303" s="2" t="s">
        <v>176</v>
      </c>
    </row>
    <row r="304" spans="1:32" ht="80" x14ac:dyDescent="0.2">
      <c r="A304" s="3" t="s">
        <v>170</v>
      </c>
      <c r="B304" s="2" t="s">
        <v>177</v>
      </c>
      <c r="C304" s="3">
        <v>2023</v>
      </c>
      <c r="D304" s="3" t="s">
        <v>34</v>
      </c>
      <c r="E304" s="3" t="s">
        <v>35</v>
      </c>
      <c r="F304" s="4">
        <v>109</v>
      </c>
      <c r="G304" s="5">
        <v>222</v>
      </c>
      <c r="H304" s="5">
        <v>235</v>
      </c>
      <c r="I304" s="5">
        <f>IF(AND(G304&lt;&gt;"",H304&lt;&gt;""),(G304+H304)/2,"")</f>
        <v>228.5</v>
      </c>
      <c r="J304" s="4">
        <v>75</v>
      </c>
      <c r="K304" s="4">
        <v>80</v>
      </c>
      <c r="L304" s="4">
        <f>IF(AND(J304&lt;&gt;"",K304&lt;&gt;""),(J304+K304)/2,"")</f>
        <v>77.5</v>
      </c>
      <c r="M304" s="6">
        <f>IF(L304&lt;&gt;"",L304/33.7,"")</f>
        <v>2.2997032640949553</v>
      </c>
      <c r="N304" s="6">
        <f>IF(AND(I304&lt;&gt;"",F304&lt;&gt;""),I304/F304,"")</f>
        <v>2.096330275229358</v>
      </c>
      <c r="O304" s="2" t="s">
        <v>36</v>
      </c>
      <c r="P304" s="2" t="s">
        <v>37</v>
      </c>
      <c r="Q304" s="2" t="s">
        <v>172</v>
      </c>
      <c r="R304" s="3" t="s">
        <v>173</v>
      </c>
      <c r="S304" s="3" t="s">
        <v>174</v>
      </c>
      <c r="T304" s="2" t="s">
        <v>175</v>
      </c>
      <c r="U304" s="3">
        <v>198</v>
      </c>
      <c r="V304" s="3">
        <v>2</v>
      </c>
      <c r="W304" s="3">
        <v>33</v>
      </c>
      <c r="X304" s="3">
        <v>12</v>
      </c>
      <c r="Y304" s="3">
        <f>IF(AND(U304&lt;&gt;"",V304&lt;&gt;""),U304*V304,"")</f>
        <v>396</v>
      </c>
      <c r="Z304" s="6">
        <v>3.6515151515151509</v>
      </c>
      <c r="AA304" s="6">
        <v>4.2</v>
      </c>
      <c r="AB304" s="6"/>
      <c r="AC304" s="4">
        <f>U304*Z304</f>
        <v>722.99999999999989</v>
      </c>
      <c r="AD304" s="4">
        <f>U304*AA304</f>
        <v>831.6</v>
      </c>
      <c r="AE304" s="4"/>
      <c r="AF304" s="2" t="s">
        <v>176</v>
      </c>
    </row>
    <row r="305" spans="1:32" ht="80" x14ac:dyDescent="0.2">
      <c r="A305" s="3" t="s">
        <v>170</v>
      </c>
      <c r="B305" s="2" t="s">
        <v>178</v>
      </c>
      <c r="C305" s="3">
        <v>2023</v>
      </c>
      <c r="D305" s="3" t="s">
        <v>34</v>
      </c>
      <c r="E305" s="3" t="s">
        <v>35</v>
      </c>
      <c r="F305" s="4">
        <v>109</v>
      </c>
      <c r="G305" s="5">
        <v>233</v>
      </c>
      <c r="H305" s="5">
        <v>233</v>
      </c>
      <c r="I305" s="5">
        <f>IF(AND(G305&lt;&gt;"",H305&lt;&gt;""),(G305+H305)/2,"")</f>
        <v>233</v>
      </c>
      <c r="J305" s="4">
        <v>80</v>
      </c>
      <c r="K305" s="4">
        <v>80</v>
      </c>
      <c r="L305" s="4">
        <f>IF(AND(J305&lt;&gt;"",K305&lt;&gt;""),(J305+K305)/2,"")</f>
        <v>80</v>
      </c>
      <c r="M305" s="6">
        <f>IF(L305&lt;&gt;"",L305/33.7,"")</f>
        <v>2.3738872403560829</v>
      </c>
      <c r="N305" s="6">
        <f>IF(AND(I305&lt;&gt;"",F305&lt;&gt;""),I305/F305,"")</f>
        <v>2.1376146788990824</v>
      </c>
      <c r="O305" s="2" t="s">
        <v>36</v>
      </c>
      <c r="P305" s="2" t="s">
        <v>37</v>
      </c>
      <c r="Q305" s="2" t="s">
        <v>172</v>
      </c>
      <c r="R305" s="3" t="s">
        <v>173</v>
      </c>
      <c r="S305" s="3" t="s">
        <v>174</v>
      </c>
      <c r="T305" s="2" t="s">
        <v>175</v>
      </c>
      <c r="U305" s="3">
        <v>198</v>
      </c>
      <c r="V305" s="3">
        <v>2</v>
      </c>
      <c r="W305" s="3">
        <v>33</v>
      </c>
      <c r="X305" s="3">
        <v>12</v>
      </c>
      <c r="Y305" s="3">
        <f>IF(AND(U305&lt;&gt;"",V305&lt;&gt;""),U305*V305,"")</f>
        <v>396</v>
      </c>
      <c r="Z305" s="6">
        <v>3.6515151515151509</v>
      </c>
      <c r="AA305" s="6">
        <v>4.2</v>
      </c>
      <c r="AB305" s="6"/>
      <c r="AC305" s="4">
        <f>U305*Z305</f>
        <v>722.99999999999989</v>
      </c>
      <c r="AD305" s="4">
        <f>U305*AA305</f>
        <v>831.6</v>
      </c>
      <c r="AE305" s="4"/>
      <c r="AF305" s="2" t="s">
        <v>176</v>
      </c>
    </row>
    <row r="306" spans="1:32" ht="80" x14ac:dyDescent="0.2">
      <c r="A306" s="3" t="s">
        <v>170</v>
      </c>
      <c r="B306" s="2" t="s">
        <v>179</v>
      </c>
      <c r="C306" s="3">
        <v>2023</v>
      </c>
      <c r="D306" s="3" t="s">
        <v>34</v>
      </c>
      <c r="E306" s="3" t="s">
        <v>50</v>
      </c>
      <c r="F306" s="4">
        <v>109</v>
      </c>
      <c r="G306" s="5">
        <v>208</v>
      </c>
      <c r="H306" s="5">
        <v>242</v>
      </c>
      <c r="I306" s="5">
        <f>IF(AND(G306&lt;&gt;"",H306&lt;&gt;""),(G306+H306)/2,"")</f>
        <v>225</v>
      </c>
      <c r="J306" s="4">
        <v>82</v>
      </c>
      <c r="K306" s="4">
        <v>83</v>
      </c>
      <c r="L306" s="4">
        <f>IF(AND(J306&lt;&gt;"",K306&lt;&gt;""),(J306+K306)/2,"")</f>
        <v>82.5</v>
      </c>
      <c r="M306" s="6">
        <f>IF(L306&lt;&gt;"",L306/33.7,"")</f>
        <v>2.4480712166172105</v>
      </c>
      <c r="N306" s="6">
        <f>IF(AND(I306&lt;&gt;"",F306&lt;&gt;""),I306/F306,"")</f>
        <v>2.0642201834862384</v>
      </c>
      <c r="O306" s="2" t="s">
        <v>36</v>
      </c>
      <c r="P306" s="2" t="s">
        <v>37</v>
      </c>
      <c r="Q306" s="2" t="s">
        <v>172</v>
      </c>
      <c r="R306" s="3" t="s">
        <v>173</v>
      </c>
      <c r="S306" s="3" t="s">
        <v>174</v>
      </c>
      <c r="T306" s="2" t="s">
        <v>175</v>
      </c>
      <c r="U306" s="3">
        <v>198</v>
      </c>
      <c r="V306" s="3">
        <v>2</v>
      </c>
      <c r="W306" s="3">
        <v>33</v>
      </c>
      <c r="X306" s="3">
        <v>12</v>
      </c>
      <c r="Y306" s="3">
        <f>IF(AND(U306&lt;&gt;"",V306&lt;&gt;""),U306*V306,"")</f>
        <v>396</v>
      </c>
      <c r="Z306" s="6">
        <v>3.6515151515151509</v>
      </c>
      <c r="AA306" s="6">
        <v>4.2</v>
      </c>
      <c r="AB306" s="6"/>
      <c r="AC306" s="4">
        <f>U306*Z306</f>
        <v>722.99999999999989</v>
      </c>
      <c r="AD306" s="4">
        <f>U306*AA306</f>
        <v>831.6</v>
      </c>
      <c r="AE306" s="4"/>
      <c r="AF306" s="2" t="s">
        <v>176</v>
      </c>
    </row>
    <row r="307" spans="1:32" ht="16" x14ac:dyDescent="0.2">
      <c r="A307" s="3" t="s">
        <v>180</v>
      </c>
      <c r="B307" s="2" t="s">
        <v>181</v>
      </c>
      <c r="C307" s="3">
        <v>2023</v>
      </c>
      <c r="D307" s="3" t="s">
        <v>42</v>
      </c>
      <c r="E307" s="3" t="s">
        <v>35</v>
      </c>
      <c r="F307" s="4">
        <v>144</v>
      </c>
      <c r="G307" s="5">
        <v>274</v>
      </c>
      <c r="H307" s="5">
        <v>321</v>
      </c>
      <c r="I307" s="5">
        <f>IF(AND(G307&lt;&gt;"",H307&lt;&gt;""),(G307+H307)/2,"")</f>
        <v>297.5</v>
      </c>
      <c r="J307" s="4">
        <v>63</v>
      </c>
      <c r="K307" s="4">
        <v>71</v>
      </c>
      <c r="L307" s="4">
        <f>IF(AND(J307&lt;&gt;"",K307&lt;&gt;""),(J307+K307)/2,"")</f>
        <v>67</v>
      </c>
      <c r="M307" s="6">
        <f>IF(L307&lt;&gt;"",L307/33.7,"")</f>
        <v>1.9881305637982194</v>
      </c>
      <c r="N307" s="6">
        <f>IF(AND(I307&lt;&gt;"",F307&lt;&gt;""),I307/F307,"")</f>
        <v>2.0659722222222223</v>
      </c>
      <c r="O307" s="2" t="s">
        <v>43</v>
      </c>
      <c r="P307" s="2" t="s">
        <v>44</v>
      </c>
      <c r="Q307" s="2"/>
      <c r="R307" s="3" t="s">
        <v>182</v>
      </c>
      <c r="S307" s="3" t="s">
        <v>183</v>
      </c>
      <c r="T307" s="2"/>
      <c r="U307" s="3"/>
      <c r="V307" s="3"/>
      <c r="W307" s="3"/>
      <c r="X307" s="3"/>
      <c r="Y307" s="3" t="str">
        <f>IF(AND(U307&lt;&gt;"",V307&lt;&gt;""),U307*V307,"")</f>
        <v/>
      </c>
      <c r="Z307" s="6"/>
      <c r="AA307" s="6"/>
      <c r="AB307" s="6"/>
      <c r="AC307" s="4"/>
      <c r="AD307" s="4"/>
      <c r="AE307" s="4"/>
      <c r="AF307" s="2"/>
    </row>
    <row r="308" spans="1:32" ht="16" x14ac:dyDescent="0.2">
      <c r="A308" s="3" t="s">
        <v>180</v>
      </c>
      <c r="B308" s="2" t="s">
        <v>184</v>
      </c>
      <c r="C308" s="3">
        <v>2023</v>
      </c>
      <c r="D308" s="3" t="s">
        <v>42</v>
      </c>
      <c r="E308" s="3" t="s">
        <v>35</v>
      </c>
      <c r="F308" s="4">
        <v>144</v>
      </c>
      <c r="G308" s="5">
        <v>307</v>
      </c>
      <c r="H308" s="5">
        <v>352</v>
      </c>
      <c r="I308" s="5">
        <f>IF(AND(G308&lt;&gt;"",H308&lt;&gt;""),(G308+H308)/2,"")</f>
        <v>329.5</v>
      </c>
      <c r="J308" s="4">
        <v>68</v>
      </c>
      <c r="K308" s="4">
        <v>78</v>
      </c>
      <c r="L308" s="4">
        <f>IF(AND(J308&lt;&gt;"",K308&lt;&gt;""),(J308+K308)/2,"")</f>
        <v>73</v>
      </c>
      <c r="M308" s="6">
        <f>IF(L308&lt;&gt;"",L308/33.7,"")</f>
        <v>2.1661721068249258</v>
      </c>
      <c r="N308" s="6">
        <f>IF(AND(I308&lt;&gt;"",F308&lt;&gt;""),I308/F308,"")</f>
        <v>2.2881944444444446</v>
      </c>
      <c r="O308" s="2" t="s">
        <v>43</v>
      </c>
      <c r="P308" s="2" t="s">
        <v>44</v>
      </c>
      <c r="Q308" s="2"/>
      <c r="R308" s="3" t="s">
        <v>182</v>
      </c>
      <c r="S308" s="3" t="s">
        <v>183</v>
      </c>
      <c r="T308" s="2"/>
      <c r="U308" s="3"/>
      <c r="V308" s="3"/>
      <c r="W308" s="3"/>
      <c r="X308" s="3"/>
      <c r="Y308" s="3" t="str">
        <f>IF(AND(U308&lt;&gt;"",V308&lt;&gt;""),U308*V308,"")</f>
        <v/>
      </c>
      <c r="Z308" s="6"/>
      <c r="AA308" s="6"/>
      <c r="AB308" s="6"/>
      <c r="AC308" s="4"/>
      <c r="AD308" s="4"/>
      <c r="AE308" s="4"/>
      <c r="AF308" s="2"/>
    </row>
    <row r="309" spans="1:32" ht="16" x14ac:dyDescent="0.2">
      <c r="A309" s="3" t="s">
        <v>180</v>
      </c>
      <c r="B309" s="2" t="s">
        <v>185</v>
      </c>
      <c r="C309" s="3">
        <v>2023</v>
      </c>
      <c r="D309" s="3" t="s">
        <v>86</v>
      </c>
      <c r="E309" s="3" t="s">
        <v>35</v>
      </c>
      <c r="F309" s="4">
        <v>144</v>
      </c>
      <c r="G309" s="5">
        <v>289</v>
      </c>
      <c r="H309" s="5">
        <v>328</v>
      </c>
      <c r="I309" s="5">
        <f>IF(AND(G309&lt;&gt;"",H309&lt;&gt;""),(G309+H309)/2,"")</f>
        <v>308.5</v>
      </c>
      <c r="J309" s="4">
        <v>64</v>
      </c>
      <c r="K309" s="4">
        <v>73</v>
      </c>
      <c r="L309" s="4">
        <f>IF(AND(J309&lt;&gt;"",K309&lt;&gt;""),(J309+K309)/2,"")</f>
        <v>68.5</v>
      </c>
      <c r="M309" s="6">
        <f>IF(L309&lt;&gt;"",L309/33.7,"")</f>
        <v>2.0326409495548958</v>
      </c>
      <c r="N309" s="6">
        <f>IF(AND(I309&lt;&gt;"",F309&lt;&gt;""),I309/F309,"")</f>
        <v>2.1423611111111112</v>
      </c>
      <c r="O309" s="2" t="s">
        <v>43</v>
      </c>
      <c r="P309" s="2" t="s">
        <v>44</v>
      </c>
      <c r="Q309" s="2"/>
      <c r="R309" s="3" t="s">
        <v>186</v>
      </c>
      <c r="S309" s="3" t="s">
        <v>187</v>
      </c>
      <c r="T309" s="2"/>
      <c r="U309" s="3"/>
      <c r="V309" s="3"/>
      <c r="W309" s="3"/>
      <c r="X309" s="3"/>
      <c r="Y309" s="3" t="str">
        <f>IF(AND(U309&lt;&gt;"",V309&lt;&gt;""),U309*V309,"")</f>
        <v/>
      </c>
      <c r="Z309" s="6"/>
      <c r="AA309" s="6"/>
      <c r="AB309" s="6"/>
      <c r="AC309" s="4"/>
      <c r="AD309" s="4"/>
      <c r="AE309" s="4"/>
      <c r="AF309" s="2"/>
    </row>
    <row r="310" spans="1:32" ht="16" x14ac:dyDescent="0.2">
      <c r="A310" s="3" t="s">
        <v>180</v>
      </c>
      <c r="B310" s="2" t="s">
        <v>188</v>
      </c>
      <c r="C310" s="3">
        <v>2023</v>
      </c>
      <c r="D310" s="3" t="s">
        <v>86</v>
      </c>
      <c r="E310" s="3" t="s">
        <v>35</v>
      </c>
      <c r="F310" s="4">
        <v>144</v>
      </c>
      <c r="G310" s="5">
        <v>341</v>
      </c>
      <c r="H310" s="5">
        <v>352</v>
      </c>
      <c r="I310" s="5">
        <f>IF(AND(G310&lt;&gt;"",H310&lt;&gt;""),(G310+H310)/2,"")</f>
        <v>346.5</v>
      </c>
      <c r="J310" s="4">
        <v>76</v>
      </c>
      <c r="K310" s="4">
        <v>78</v>
      </c>
      <c r="L310" s="4">
        <f>IF(AND(J310&lt;&gt;"",K310&lt;&gt;""),(J310+K310)/2,"")</f>
        <v>77</v>
      </c>
      <c r="M310" s="6">
        <f>IF(L310&lt;&gt;"",L310/33.7,"")</f>
        <v>2.2848664688427296</v>
      </c>
      <c r="N310" s="6">
        <f>IF(AND(I310&lt;&gt;"",F310&lt;&gt;""),I310/F310,"")</f>
        <v>2.40625</v>
      </c>
      <c r="O310" s="2" t="s">
        <v>43</v>
      </c>
      <c r="P310" s="2" t="s">
        <v>44</v>
      </c>
      <c r="Q310" s="2"/>
      <c r="R310" s="3" t="s">
        <v>186</v>
      </c>
      <c r="S310" s="3" t="s">
        <v>187</v>
      </c>
      <c r="T310" s="2"/>
      <c r="U310" s="3"/>
      <c r="V310" s="3"/>
      <c r="W310" s="3"/>
      <c r="X310" s="3"/>
      <c r="Y310" s="3" t="str">
        <f>IF(AND(U310&lt;&gt;"",V310&lt;&gt;""),U310*V310,"")</f>
        <v/>
      </c>
      <c r="Z310" s="6"/>
      <c r="AA310" s="6"/>
      <c r="AB310" s="6"/>
      <c r="AC310" s="4"/>
      <c r="AD310" s="4"/>
      <c r="AE310" s="4"/>
      <c r="AF310" s="2"/>
    </row>
    <row r="311" spans="1:32" ht="16" x14ac:dyDescent="0.2">
      <c r="A311" s="3" t="s">
        <v>189</v>
      </c>
      <c r="B311" s="2" t="s">
        <v>190</v>
      </c>
      <c r="C311" s="3">
        <v>2023</v>
      </c>
      <c r="D311" s="3" t="s">
        <v>42</v>
      </c>
      <c r="E311" s="3" t="s">
        <v>35</v>
      </c>
      <c r="F311" s="4">
        <v>72</v>
      </c>
      <c r="G311" s="5">
        <v>222</v>
      </c>
      <c r="H311" s="5">
        <v>228</v>
      </c>
      <c r="I311" s="5">
        <f>IF(AND(G311&lt;&gt;"",H311&lt;&gt;""),(G311+H311)/2,"")</f>
        <v>225</v>
      </c>
      <c r="J311" s="4">
        <v>102</v>
      </c>
      <c r="K311" s="4">
        <v>104</v>
      </c>
      <c r="L311" s="4">
        <f>IF(AND(J311&lt;&gt;"",K311&lt;&gt;""),(J311+K311)/2,"")</f>
        <v>103</v>
      </c>
      <c r="M311" s="6">
        <f>IF(L311&lt;&gt;"",L311/33.7,"")</f>
        <v>3.0563798219584566</v>
      </c>
      <c r="N311" s="6">
        <f>IF(AND(I311&lt;&gt;"",F311&lt;&gt;""),I311/F311,"")</f>
        <v>3.125</v>
      </c>
      <c r="O311" s="2" t="s">
        <v>43</v>
      </c>
      <c r="P311" s="2" t="s">
        <v>44</v>
      </c>
      <c r="Q311" s="2"/>
      <c r="R311" s="3" t="s">
        <v>62</v>
      </c>
      <c r="S311" s="3" t="s">
        <v>63</v>
      </c>
      <c r="T311" s="2"/>
      <c r="U311" s="3"/>
      <c r="V311" s="3"/>
      <c r="W311" s="3"/>
      <c r="X311" s="3"/>
      <c r="Y311" s="3" t="str">
        <f>IF(AND(U311&lt;&gt;"",V311&lt;&gt;""),U311*V311,"")</f>
        <v/>
      </c>
      <c r="Z311" s="6"/>
      <c r="AA311" s="6"/>
      <c r="AB311" s="6"/>
      <c r="AC311" s="4"/>
      <c r="AD311" s="4"/>
      <c r="AE311" s="4"/>
      <c r="AF311" s="2"/>
    </row>
    <row r="312" spans="1:32" ht="16" x14ac:dyDescent="0.2">
      <c r="A312" s="3" t="s">
        <v>191</v>
      </c>
      <c r="B312" s="2" t="s">
        <v>192</v>
      </c>
      <c r="C312" s="3">
        <v>2023</v>
      </c>
      <c r="D312" s="3" t="s">
        <v>34</v>
      </c>
      <c r="E312" s="3" t="s">
        <v>35</v>
      </c>
      <c r="F312" s="4">
        <v>84</v>
      </c>
      <c r="G312" s="5">
        <v>315</v>
      </c>
      <c r="H312" s="5">
        <v>358</v>
      </c>
      <c r="I312" s="5">
        <f>IF(AND(G312&lt;&gt;"",H312&lt;&gt;""),(G312+H312)/2,"")</f>
        <v>336.5</v>
      </c>
      <c r="J312" s="4">
        <v>113</v>
      </c>
      <c r="K312" s="4">
        <v>131</v>
      </c>
      <c r="L312" s="4">
        <f>IF(AND(J312&lt;&gt;"",K312&lt;&gt;""),(J312+K312)/2,"")</f>
        <v>122</v>
      </c>
      <c r="M312" s="6">
        <f>IF(L312&lt;&gt;"",L312/33.7,"")</f>
        <v>3.6201780415430265</v>
      </c>
      <c r="N312" s="6">
        <f>IF(AND(I312&lt;&gt;"",F312&lt;&gt;""),I312/F312,"")</f>
        <v>4.0059523809523814</v>
      </c>
      <c r="O312" s="2" t="s">
        <v>43</v>
      </c>
      <c r="P312" s="2" t="s">
        <v>44</v>
      </c>
      <c r="Q312" s="2"/>
      <c r="R312" s="3" t="s">
        <v>193</v>
      </c>
      <c r="S312" s="3" t="s">
        <v>194</v>
      </c>
      <c r="T312" s="2"/>
      <c r="U312" s="3"/>
      <c r="V312" s="3"/>
      <c r="W312" s="3"/>
      <c r="X312" s="3"/>
      <c r="Y312" s="3" t="str">
        <f>IF(AND(U312&lt;&gt;"",V312&lt;&gt;""),U312*V312,"")</f>
        <v/>
      </c>
      <c r="Z312" s="6"/>
      <c r="AA312" s="6"/>
      <c r="AB312" s="6"/>
      <c r="AC312" s="4"/>
      <c r="AD312" s="4"/>
      <c r="AE312" s="4"/>
      <c r="AF312" s="2"/>
    </row>
    <row r="313" spans="1:32" ht="16" x14ac:dyDescent="0.2">
      <c r="A313" s="3" t="s">
        <v>191</v>
      </c>
      <c r="B313" s="2" t="s">
        <v>195</v>
      </c>
      <c r="C313" s="3">
        <v>2023</v>
      </c>
      <c r="D313" s="3" t="s">
        <v>34</v>
      </c>
      <c r="E313" s="3" t="s">
        <v>50</v>
      </c>
      <c r="F313" s="4">
        <v>60.9</v>
      </c>
      <c r="G313" s="5">
        <v>272</v>
      </c>
      <c r="H313" s="5">
        <v>272</v>
      </c>
      <c r="I313" s="5">
        <f>IF(AND(G313&lt;&gt;"",H313&lt;&gt;""),(G313+H313)/2,"")</f>
        <v>272</v>
      </c>
      <c r="J313" s="4">
        <v>132</v>
      </c>
      <c r="K313" s="4">
        <v>132</v>
      </c>
      <c r="L313" s="4">
        <f>IF(AND(J313&lt;&gt;"",K313&lt;&gt;""),(J313+K313)/2,"")</f>
        <v>132</v>
      </c>
      <c r="M313" s="6">
        <f>IF(L313&lt;&gt;"",L313/33.7,"")</f>
        <v>3.9169139465875369</v>
      </c>
      <c r="N313" s="6">
        <f>IF(AND(I313&lt;&gt;"",F313&lt;&gt;""),I313/F313,"")</f>
        <v>4.4663382594417076</v>
      </c>
      <c r="O313" s="2" t="s">
        <v>43</v>
      </c>
      <c r="P313" s="2" t="s">
        <v>44</v>
      </c>
      <c r="Q313" s="2"/>
      <c r="R313" s="3" t="s">
        <v>196</v>
      </c>
      <c r="S313" s="3" t="s">
        <v>194</v>
      </c>
      <c r="T313" s="2"/>
      <c r="U313" s="3"/>
      <c r="V313" s="3"/>
      <c r="W313" s="3"/>
      <c r="X313" s="3"/>
      <c r="Y313" s="3" t="str">
        <f>IF(AND(U313&lt;&gt;"",V313&lt;&gt;""),U313*V313,"")</f>
        <v/>
      </c>
      <c r="Z313" s="6"/>
      <c r="AA313" s="6"/>
      <c r="AB313" s="6"/>
      <c r="AC313" s="4"/>
      <c r="AD313" s="4"/>
      <c r="AE313" s="4"/>
      <c r="AF313" s="2"/>
    </row>
    <row r="314" spans="1:32" ht="16" x14ac:dyDescent="0.2">
      <c r="A314" s="3" t="s">
        <v>191</v>
      </c>
      <c r="B314" s="2" t="s">
        <v>197</v>
      </c>
      <c r="C314" s="3">
        <v>2023</v>
      </c>
      <c r="D314" s="3" t="s">
        <v>34</v>
      </c>
      <c r="E314" s="3" t="s">
        <v>35</v>
      </c>
      <c r="F314" s="4">
        <v>104</v>
      </c>
      <c r="G314" s="5">
        <v>405</v>
      </c>
      <c r="H314" s="5">
        <v>405</v>
      </c>
      <c r="I314" s="5">
        <f>IF(AND(G314&lt;&gt;"",H314&lt;&gt;""),(G314+H314)/2,"")</f>
        <v>405</v>
      </c>
      <c r="J314" s="4">
        <v>120</v>
      </c>
      <c r="K314" s="4">
        <v>120</v>
      </c>
      <c r="L314" s="4">
        <f>IF(AND(J314&lt;&gt;"",K314&lt;&gt;""),(J314+K314)/2,"")</f>
        <v>120</v>
      </c>
      <c r="M314" s="6">
        <f>IF(L314&lt;&gt;"",L314/33.7,"")</f>
        <v>3.5608308605341241</v>
      </c>
      <c r="N314" s="6">
        <f>IF(AND(I314&lt;&gt;"",F314&lt;&gt;""),I314/F314,"")</f>
        <v>3.8942307692307692</v>
      </c>
      <c r="O314" s="2" t="s">
        <v>43</v>
      </c>
      <c r="P314" s="2" t="s">
        <v>44</v>
      </c>
      <c r="Q314" s="2"/>
      <c r="R314" s="3" t="s">
        <v>193</v>
      </c>
      <c r="S314" s="3" t="s">
        <v>198</v>
      </c>
      <c r="T314" s="2"/>
      <c r="U314" s="3"/>
      <c r="V314" s="3"/>
      <c r="W314" s="3"/>
      <c r="X314" s="3"/>
      <c r="Y314" s="3" t="str">
        <f>IF(AND(U314&lt;&gt;"",V314&lt;&gt;""),U314*V314,"")</f>
        <v/>
      </c>
      <c r="Z314" s="6"/>
      <c r="AA314" s="6"/>
      <c r="AB314" s="6"/>
      <c r="AC314" s="4"/>
      <c r="AD314" s="4"/>
      <c r="AE314" s="4"/>
      <c r="AF314" s="2"/>
    </row>
    <row r="315" spans="1:32" ht="16" x14ac:dyDescent="0.2">
      <c r="A315" s="3" t="s">
        <v>191</v>
      </c>
      <c r="B315" s="2" t="s">
        <v>199</v>
      </c>
      <c r="C315" s="3">
        <v>2023</v>
      </c>
      <c r="D315" s="3" t="s">
        <v>42</v>
      </c>
      <c r="E315" s="3" t="s">
        <v>35</v>
      </c>
      <c r="F315" s="4">
        <v>104</v>
      </c>
      <c r="G315" s="5">
        <v>311</v>
      </c>
      <c r="H315" s="5">
        <v>348</v>
      </c>
      <c r="I315" s="5">
        <f>IF(AND(G315&lt;&gt;"",H315&lt;&gt;""),(G315+H315)/2,"")</f>
        <v>329.5</v>
      </c>
      <c r="J315" s="4">
        <v>91</v>
      </c>
      <c r="K315" s="4">
        <v>102</v>
      </c>
      <c r="L315" s="4">
        <f>IF(AND(J315&lt;&gt;"",K315&lt;&gt;""),(J315+K315)/2,"")</f>
        <v>96.5</v>
      </c>
      <c r="M315" s="6">
        <f>IF(L315&lt;&gt;"",L315/33.7,"")</f>
        <v>2.8635014836795252</v>
      </c>
      <c r="N315" s="6">
        <f>IF(AND(I315&lt;&gt;"",F315&lt;&gt;""),I315/F315,"")</f>
        <v>3.1682692307692308</v>
      </c>
      <c r="O315" s="2" t="s">
        <v>43</v>
      </c>
      <c r="P315" s="2" t="s">
        <v>44</v>
      </c>
      <c r="Q315" s="2"/>
      <c r="R315" s="3" t="s">
        <v>193</v>
      </c>
      <c r="S315" s="3" t="s">
        <v>200</v>
      </c>
      <c r="T315" s="2"/>
      <c r="U315" s="3"/>
      <c r="V315" s="3"/>
      <c r="W315" s="3"/>
      <c r="X315" s="3"/>
      <c r="Y315" s="3" t="str">
        <f>IF(AND(U315&lt;&gt;"",V315&lt;&gt;""),U315*V315,"")</f>
        <v/>
      </c>
      <c r="Z315" s="6"/>
      <c r="AA315" s="6"/>
      <c r="AB315" s="6"/>
      <c r="AC315" s="4"/>
      <c r="AD315" s="4"/>
      <c r="AE315" s="4"/>
      <c r="AF315" s="2"/>
    </row>
    <row r="316" spans="1:32" ht="32" x14ac:dyDescent="0.2">
      <c r="A316" s="3" t="s">
        <v>191</v>
      </c>
      <c r="B316" s="2" t="s">
        <v>201</v>
      </c>
      <c r="C316" s="3">
        <v>2023</v>
      </c>
      <c r="D316" s="3" t="s">
        <v>42</v>
      </c>
      <c r="E316" s="3" t="s">
        <v>35</v>
      </c>
      <c r="F316" s="4">
        <v>84</v>
      </c>
      <c r="G316" s="5">
        <v>279</v>
      </c>
      <c r="H316" s="5">
        <v>330</v>
      </c>
      <c r="I316" s="5">
        <f>IF(AND(G316&lt;&gt;"",H316&lt;&gt;""),(G316+H316)/2,"")</f>
        <v>304.5</v>
      </c>
      <c r="J316" s="4">
        <v>111</v>
      </c>
      <c r="K316" s="4">
        <v>123</v>
      </c>
      <c r="L316" s="4">
        <f>IF(AND(J316&lt;&gt;"",K316&lt;&gt;""),(J316+K316)/2,"")</f>
        <v>117</v>
      </c>
      <c r="M316" s="6">
        <f>IF(L316&lt;&gt;"",L316/33.7,"")</f>
        <v>3.4718100890207713</v>
      </c>
      <c r="N316" s="6">
        <f>IF(AND(I316&lt;&gt;"",F316&lt;&gt;""),I316/F316,"")</f>
        <v>3.625</v>
      </c>
      <c r="O316" s="2" t="s">
        <v>43</v>
      </c>
      <c r="P316" s="2" t="s">
        <v>37</v>
      </c>
      <c r="Q316" s="2" t="s">
        <v>202</v>
      </c>
      <c r="R316" s="3" t="s">
        <v>193</v>
      </c>
      <c r="S316" s="3" t="s">
        <v>194</v>
      </c>
      <c r="T316" s="2" t="s">
        <v>203</v>
      </c>
      <c r="U316" s="3">
        <v>96</v>
      </c>
      <c r="V316" s="3">
        <v>46</v>
      </c>
      <c r="W316" s="3"/>
      <c r="X316" s="3"/>
      <c r="Y316" s="3">
        <f>IF(AND(U316&lt;&gt;"",V316&lt;&gt;""),U316*V316,"")</f>
        <v>4416</v>
      </c>
      <c r="Z316" s="6"/>
      <c r="AA316" s="6"/>
      <c r="AB316" s="6"/>
      <c r="AC316" s="4"/>
      <c r="AD316" s="4"/>
      <c r="AE316" s="4"/>
      <c r="AF316" s="2" t="s">
        <v>202</v>
      </c>
    </row>
    <row r="317" spans="1:32" ht="16" x14ac:dyDescent="0.2">
      <c r="A317" s="3" t="s">
        <v>204</v>
      </c>
      <c r="B317" s="2" t="s">
        <v>205</v>
      </c>
      <c r="C317" s="3">
        <v>2023</v>
      </c>
      <c r="D317" s="3" t="s">
        <v>42</v>
      </c>
      <c r="E317" s="3" t="s">
        <v>74</v>
      </c>
      <c r="F317" s="4">
        <v>71</v>
      </c>
      <c r="G317" s="5">
        <v>242</v>
      </c>
      <c r="H317" s="5">
        <v>252</v>
      </c>
      <c r="I317" s="5">
        <f>IF(AND(G317&lt;&gt;"",H317&lt;&gt;""),(G317+H317)/2,"")</f>
        <v>247</v>
      </c>
      <c r="J317" s="4">
        <v>114</v>
      </c>
      <c r="K317" s="4">
        <v>119</v>
      </c>
      <c r="L317" s="4">
        <f>IF(AND(J317&lt;&gt;"",K317&lt;&gt;""),(J317+K317)/2,"")</f>
        <v>116.5</v>
      </c>
      <c r="M317" s="6">
        <f>IF(L317&lt;&gt;"",L317/33.7,"")</f>
        <v>3.4569732937685456</v>
      </c>
      <c r="N317" s="6">
        <f>IF(AND(I317&lt;&gt;"",F317&lt;&gt;""),I317/F317,"")</f>
        <v>3.4788732394366195</v>
      </c>
      <c r="O317" s="2" t="s">
        <v>43</v>
      </c>
      <c r="P317" s="2" t="s">
        <v>44</v>
      </c>
      <c r="Q317" s="2"/>
      <c r="R317" s="3" t="s">
        <v>206</v>
      </c>
      <c r="S317" s="3" t="s">
        <v>128</v>
      </c>
      <c r="T317" s="2"/>
      <c r="U317" s="3"/>
      <c r="V317" s="3"/>
      <c r="W317" s="3"/>
      <c r="X317" s="3"/>
      <c r="Y317" s="3" t="str">
        <f>IF(AND(U317&lt;&gt;"",V317&lt;&gt;""),U317*V317,"")</f>
        <v/>
      </c>
      <c r="Z317" s="6"/>
      <c r="AA317" s="6"/>
      <c r="AB317" s="6"/>
      <c r="AC317" s="4"/>
      <c r="AD317" s="4"/>
      <c r="AE317" s="4"/>
      <c r="AF317" s="2"/>
    </row>
    <row r="318" spans="1:32" ht="16" x14ac:dyDescent="0.2">
      <c r="A318" s="3" t="s">
        <v>204</v>
      </c>
      <c r="B318" s="2" t="s">
        <v>207</v>
      </c>
      <c r="C318" s="3">
        <v>2023</v>
      </c>
      <c r="D318" s="3" t="s">
        <v>42</v>
      </c>
      <c r="E318" s="3" t="s">
        <v>35</v>
      </c>
      <c r="F318" s="4">
        <v>72</v>
      </c>
      <c r="G318" s="5">
        <v>222</v>
      </c>
      <c r="H318" s="5">
        <v>228</v>
      </c>
      <c r="I318" s="5">
        <f>IF(AND(G318&lt;&gt;"",H318&lt;&gt;""),(G318+H318)/2,"")</f>
        <v>225</v>
      </c>
      <c r="J318" s="4">
        <v>102</v>
      </c>
      <c r="K318" s="4">
        <v>104</v>
      </c>
      <c r="L318" s="4">
        <f>IF(AND(J318&lt;&gt;"",K318&lt;&gt;""),(J318+K318)/2,"")</f>
        <v>103</v>
      </c>
      <c r="M318" s="6">
        <f>IF(L318&lt;&gt;"",L318/33.7,"")</f>
        <v>3.0563798219584566</v>
      </c>
      <c r="N318" s="6">
        <f>IF(AND(I318&lt;&gt;"",F318&lt;&gt;""),I318/F318,"")</f>
        <v>3.125</v>
      </c>
      <c r="O318" s="2" t="s">
        <v>43</v>
      </c>
      <c r="P318" s="2" t="s">
        <v>44</v>
      </c>
      <c r="Q318" s="2"/>
      <c r="R318" s="3" t="s">
        <v>127</v>
      </c>
      <c r="S318" s="3" t="s">
        <v>128</v>
      </c>
      <c r="T318" s="2"/>
      <c r="U318" s="3"/>
      <c r="V318" s="3"/>
      <c r="W318" s="3"/>
      <c r="X318" s="3"/>
      <c r="Y318" s="3" t="str">
        <f>IF(AND(U318&lt;&gt;"",V318&lt;&gt;""),U318*V318,"")</f>
        <v/>
      </c>
      <c r="Z318" s="6"/>
      <c r="AA318" s="6"/>
      <c r="AB318" s="6"/>
      <c r="AC318" s="4"/>
      <c r="AD318" s="4"/>
      <c r="AE318" s="4"/>
      <c r="AF318" s="2"/>
    </row>
    <row r="319" spans="1:32" ht="16" x14ac:dyDescent="0.2">
      <c r="A319" s="3" t="s">
        <v>208</v>
      </c>
      <c r="B319" s="2" t="s">
        <v>209</v>
      </c>
      <c r="C319" s="3">
        <v>2023</v>
      </c>
      <c r="D319" s="3" t="s">
        <v>42</v>
      </c>
      <c r="E319" s="3" t="s">
        <v>35</v>
      </c>
      <c r="F319" s="4">
        <v>88</v>
      </c>
      <c r="G319" s="5">
        <v>191</v>
      </c>
      <c r="H319" s="5">
        <v>207</v>
      </c>
      <c r="I319" s="5">
        <f>IF(AND(G319&lt;&gt;"",H319&lt;&gt;""),(G319+H319)/2,"")</f>
        <v>199</v>
      </c>
      <c r="J319" s="4">
        <v>80</v>
      </c>
      <c r="K319" s="4">
        <v>87</v>
      </c>
      <c r="L319" s="4">
        <f>IF(AND(J319&lt;&gt;"",K319&lt;&gt;""),(J319+K319)/2,"")</f>
        <v>83.5</v>
      </c>
      <c r="M319" s="6">
        <f>IF(L319&lt;&gt;"",L319/33.7,"")</f>
        <v>2.4777448071216615</v>
      </c>
      <c r="N319" s="6">
        <f>IF(AND(I319&lt;&gt;"",F319&lt;&gt;""),I319/F319,"")</f>
        <v>2.2613636363636362</v>
      </c>
      <c r="O319" s="2" t="s">
        <v>43</v>
      </c>
      <c r="P319" s="2" t="s">
        <v>44</v>
      </c>
      <c r="Q319" s="2"/>
      <c r="R319" s="3" t="s">
        <v>62</v>
      </c>
      <c r="S319" s="3" t="s">
        <v>63</v>
      </c>
      <c r="T319" s="2"/>
      <c r="U319" s="3"/>
      <c r="V319" s="3"/>
      <c r="W319" s="3"/>
      <c r="X319" s="3"/>
      <c r="Y319" s="3" t="str">
        <f>IF(AND(U319&lt;&gt;"",V319&lt;&gt;""),U319*V319,"")</f>
        <v/>
      </c>
      <c r="Z319" s="6"/>
      <c r="AA319" s="6"/>
      <c r="AB319" s="6"/>
      <c r="AC319" s="4"/>
      <c r="AD319" s="4"/>
      <c r="AE319" s="4"/>
      <c r="AF319" s="2"/>
    </row>
    <row r="320" spans="1:32" ht="32" x14ac:dyDescent="0.2">
      <c r="A320" s="3" t="s">
        <v>210</v>
      </c>
      <c r="B320" s="2" t="s">
        <v>211</v>
      </c>
      <c r="C320" s="3">
        <v>2023</v>
      </c>
      <c r="D320" s="3" t="s">
        <v>42</v>
      </c>
      <c r="E320" s="3" t="s">
        <v>35</v>
      </c>
      <c r="F320" s="4">
        <v>81</v>
      </c>
      <c r="G320" s="5">
        <v>255</v>
      </c>
      <c r="H320" s="5">
        <v>255</v>
      </c>
      <c r="I320" s="5">
        <f>IF(AND(G320&lt;&gt;"",H320&lt;&gt;""),(G320+H320)/2,"")</f>
        <v>255</v>
      </c>
      <c r="J320" s="4">
        <v>99</v>
      </c>
      <c r="K320" s="4">
        <v>99</v>
      </c>
      <c r="L320" s="4">
        <f>IF(AND(J320&lt;&gt;"",K320&lt;&gt;""),(J320+K320)/2,"")</f>
        <v>99</v>
      </c>
      <c r="M320" s="6">
        <f>IF(L320&lt;&gt;"",L320/33.7,"")</f>
        <v>2.9376854599406528</v>
      </c>
      <c r="N320" s="6">
        <f>IF(AND(I320&lt;&gt;"",F320&lt;&gt;""),I320/F320,"")</f>
        <v>3.1481481481481484</v>
      </c>
      <c r="O320" s="2" t="s">
        <v>43</v>
      </c>
      <c r="P320" s="2" t="s">
        <v>44</v>
      </c>
      <c r="Q320" s="2"/>
      <c r="R320" s="3" t="s">
        <v>51</v>
      </c>
      <c r="S320" s="3" t="s">
        <v>212</v>
      </c>
      <c r="T320" s="2" t="s">
        <v>213</v>
      </c>
      <c r="U320" s="3">
        <v>96</v>
      </c>
      <c r="V320" s="3">
        <v>3</v>
      </c>
      <c r="W320" s="3">
        <v>12</v>
      </c>
      <c r="X320" s="3">
        <v>24</v>
      </c>
      <c r="Y320" s="3">
        <f>IF(AND(U320&lt;&gt;"",V320&lt;&gt;""),U320*V320,"")</f>
        <v>288</v>
      </c>
      <c r="Z320" s="6">
        <v>3.65</v>
      </c>
      <c r="AA320" s="6">
        <v>4.2</v>
      </c>
      <c r="AB320" s="6">
        <v>2.5</v>
      </c>
      <c r="AC320" s="4">
        <f>U320*Z320</f>
        <v>350.4</v>
      </c>
      <c r="AD320" s="4">
        <f>U320*AA320</f>
        <v>403.20000000000005</v>
      </c>
      <c r="AE320" s="4">
        <f>U320*AB320</f>
        <v>240</v>
      </c>
      <c r="AF320" s="2" t="s">
        <v>214</v>
      </c>
    </row>
    <row r="321" spans="1:32" ht="32" x14ac:dyDescent="0.2">
      <c r="A321" s="3" t="s">
        <v>210</v>
      </c>
      <c r="B321" s="2" t="s">
        <v>215</v>
      </c>
      <c r="C321" s="3">
        <v>2023</v>
      </c>
      <c r="D321" s="3" t="s">
        <v>42</v>
      </c>
      <c r="E321" s="3" t="s">
        <v>50</v>
      </c>
      <c r="F321" s="4">
        <v>81</v>
      </c>
      <c r="G321" s="5">
        <v>209</v>
      </c>
      <c r="H321" s="5">
        <v>275</v>
      </c>
      <c r="I321" s="5">
        <f>IF(AND(G321&lt;&gt;"",H321&lt;&gt;""),(G321+H321)/2,"")</f>
        <v>242</v>
      </c>
      <c r="J321" s="4">
        <v>107</v>
      </c>
      <c r="K321" s="4">
        <v>107</v>
      </c>
      <c r="L321" s="4">
        <f>IF(AND(J321&lt;&gt;"",K321&lt;&gt;""),(J321+K321)/2,"")</f>
        <v>107</v>
      </c>
      <c r="M321" s="6">
        <f>IF(L321&lt;&gt;"",L321/33.7,"")</f>
        <v>3.1750741839762608</v>
      </c>
      <c r="N321" s="6">
        <f>IF(AND(I321&lt;&gt;"",F321&lt;&gt;""),I321/F321,"")</f>
        <v>2.9876543209876543</v>
      </c>
      <c r="O321" s="2" t="s">
        <v>43</v>
      </c>
      <c r="P321" s="2" t="s">
        <v>44</v>
      </c>
      <c r="Q321" s="2"/>
      <c r="R321" s="3" t="s">
        <v>51</v>
      </c>
      <c r="S321" s="3" t="s">
        <v>212</v>
      </c>
      <c r="T321" s="2" t="s">
        <v>213</v>
      </c>
      <c r="U321" s="3">
        <v>96</v>
      </c>
      <c r="V321" s="3">
        <v>3</v>
      </c>
      <c r="W321" s="3">
        <v>12</v>
      </c>
      <c r="X321" s="3">
        <v>24</v>
      </c>
      <c r="Y321" s="3">
        <f>IF(AND(U321&lt;&gt;"",V321&lt;&gt;""),U321*V321,"")</f>
        <v>288</v>
      </c>
      <c r="Z321" s="6">
        <v>3.65</v>
      </c>
      <c r="AA321" s="6">
        <v>4.2</v>
      </c>
      <c r="AB321" s="6">
        <v>2.5</v>
      </c>
      <c r="AC321" s="4">
        <f>U321*Z321</f>
        <v>350.4</v>
      </c>
      <c r="AD321" s="4">
        <f>U321*AA321</f>
        <v>403.20000000000005</v>
      </c>
      <c r="AE321" s="4">
        <f>U321*AB321</f>
        <v>240</v>
      </c>
      <c r="AF321" s="2" t="s">
        <v>214</v>
      </c>
    </row>
    <row r="322" spans="1:32" ht="16" x14ac:dyDescent="0.2">
      <c r="A322" s="3" t="s">
        <v>216</v>
      </c>
      <c r="B322" s="2" t="s">
        <v>217</v>
      </c>
      <c r="C322" s="3">
        <v>2023</v>
      </c>
      <c r="D322" s="3" t="s">
        <v>42</v>
      </c>
      <c r="E322" s="3" t="s">
        <v>35</v>
      </c>
      <c r="F322" s="4">
        <v>77</v>
      </c>
      <c r="G322" s="5">
        <v>226</v>
      </c>
      <c r="H322" s="5">
        <v>226</v>
      </c>
      <c r="I322" s="5">
        <f>IF(AND(G322&lt;&gt;"",H322&lt;&gt;""),(G322+H322)/2,"")</f>
        <v>226</v>
      </c>
      <c r="J322" s="4">
        <v>87</v>
      </c>
      <c r="K322" s="4">
        <v>87</v>
      </c>
      <c r="L322" s="4">
        <f>IF(AND(J322&lt;&gt;"",K322&lt;&gt;""),(J322+K322)/2,"")</f>
        <v>87</v>
      </c>
      <c r="M322" s="6">
        <f>IF(L322&lt;&gt;"",L322/33.7,"")</f>
        <v>2.58160237388724</v>
      </c>
      <c r="N322" s="6">
        <f>IF(AND(I322&lt;&gt;"",F322&lt;&gt;""),I322/F322,"")</f>
        <v>2.9350649350649349</v>
      </c>
      <c r="O322" s="2" t="s">
        <v>43</v>
      </c>
      <c r="P322" s="2" t="s">
        <v>44</v>
      </c>
      <c r="Q322" s="2"/>
      <c r="R322" s="3" t="s">
        <v>218</v>
      </c>
      <c r="S322" s="3" t="s">
        <v>219</v>
      </c>
      <c r="T322" s="2"/>
      <c r="U322" s="3"/>
      <c r="V322" s="3"/>
      <c r="W322" s="3"/>
      <c r="X322" s="3"/>
      <c r="Y322" s="3" t="str">
        <f>IF(AND(U322&lt;&gt;"",V322&lt;&gt;""),U322*V322,"")</f>
        <v/>
      </c>
      <c r="Z322" s="6"/>
      <c r="AA322" s="6"/>
      <c r="AB322" s="6"/>
      <c r="AC322" s="4"/>
      <c r="AD322" s="4"/>
      <c r="AE322" s="4"/>
      <c r="AF322" s="2"/>
    </row>
    <row r="323" spans="1:32" ht="16" x14ac:dyDescent="0.2">
      <c r="A323" s="3" t="s">
        <v>216</v>
      </c>
      <c r="B323" s="2" t="s">
        <v>220</v>
      </c>
      <c r="C323" s="3">
        <v>2023</v>
      </c>
      <c r="D323" s="3" t="s">
        <v>42</v>
      </c>
      <c r="E323" s="3" t="s">
        <v>35</v>
      </c>
      <c r="F323" s="4">
        <v>77</v>
      </c>
      <c r="G323" s="5">
        <v>223</v>
      </c>
      <c r="H323" s="5">
        <v>223</v>
      </c>
      <c r="I323" s="5">
        <f>IF(AND(G323&lt;&gt;"",H323&lt;&gt;""),(G323+H323)/2,"")</f>
        <v>223</v>
      </c>
      <c r="J323" s="4">
        <v>85</v>
      </c>
      <c r="K323" s="4">
        <v>85</v>
      </c>
      <c r="L323" s="4">
        <f>IF(AND(J323&lt;&gt;"",K323&lt;&gt;""),(J323+K323)/2,"")</f>
        <v>85</v>
      </c>
      <c r="M323" s="6">
        <f>IF(L323&lt;&gt;"",L323/33.7,"")</f>
        <v>2.5222551928783381</v>
      </c>
      <c r="N323" s="6">
        <f>IF(AND(I323&lt;&gt;"",F323&lt;&gt;""),I323/F323,"")</f>
        <v>2.8961038961038961</v>
      </c>
      <c r="O323" s="2" t="s">
        <v>43</v>
      </c>
      <c r="P323" s="2" t="s">
        <v>44</v>
      </c>
      <c r="Q323" s="2"/>
      <c r="R323" s="3" t="s">
        <v>167</v>
      </c>
      <c r="S323" s="3" t="s">
        <v>221</v>
      </c>
      <c r="T323" s="2"/>
      <c r="U323" s="3"/>
      <c r="V323" s="3"/>
      <c r="W323" s="3"/>
      <c r="X323" s="3"/>
      <c r="Y323" s="3" t="str">
        <f>IF(AND(U323&lt;&gt;"",V323&lt;&gt;""),U323*V323,"")</f>
        <v/>
      </c>
      <c r="Z323" s="6"/>
      <c r="AA323" s="6"/>
      <c r="AB323" s="6"/>
      <c r="AC323" s="4"/>
      <c r="AD323" s="4"/>
      <c r="AE323" s="4"/>
      <c r="AF323" s="2"/>
    </row>
  </sheetData>
  <autoFilter ref="A1:AF1" xr:uid="{00000000-0009-0000-0000-000001000000}">
    <sortState xmlns:xlrd2="http://schemas.microsoft.com/office/spreadsheetml/2017/richdata2" ref="A2:AF323">
      <sortCondition descending="1" ref="C1:C32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 Subramanyam</cp:lastModifiedBy>
  <dcterms:created xsi:type="dcterms:W3CDTF">2026-01-29T03:21:48Z</dcterms:created>
  <dcterms:modified xsi:type="dcterms:W3CDTF">2026-01-29T04:24:59Z</dcterms:modified>
</cp:coreProperties>
</file>